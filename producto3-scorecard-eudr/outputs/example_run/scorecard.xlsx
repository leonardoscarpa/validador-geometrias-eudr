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Factores" sheetId="2" state="visible" r:id="rId2"/>
    <sheet xmlns:r="http://schemas.openxmlformats.org/officeDocument/2006/relationships" name="Proveedor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2F5233"/>
        <bgColor rgb="002F52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2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1"/>
  <sheetViews>
    <sheetView workbookViewId="0">
      <selection activeCell="A1" sqref="A1"/>
    </sheetView>
  </sheetViews>
  <sheetFormatPr baseColWidth="8" defaultRowHeight="15"/>
  <cols>
    <col width="30" customWidth="1" min="1" max="1"/>
    <col width="70" customWidth="1" min="2" max="2"/>
  </cols>
  <sheetData>
    <row r="1">
      <c r="A1" s="1" t="inlineStr">
        <is>
          <t>Scorecard de riesgo de proveedor — EUDR (Art. 10)</t>
        </is>
      </c>
    </row>
    <row r="2">
      <c r="A2" t="inlineStr">
        <is>
          <t>Archivo de entrada</t>
        </is>
      </c>
      <c r="B2" t="inlineStr">
        <is>
          <t>proveedores_sinteticos.xlsx</t>
        </is>
      </c>
    </row>
    <row r="3">
      <c r="A3" t="inlineStr">
        <is>
          <t>Fecha de generación</t>
        </is>
      </c>
      <c r="B3" t="inlineStr">
        <is>
          <t>2026-09-18 09:14</t>
        </is>
      </c>
    </row>
    <row r="5">
      <c r="A5" s="2" t="inlineStr">
        <is>
          <t>Métrica</t>
        </is>
      </c>
      <c r="B5" s="2" t="inlineStr">
        <is>
          <t>Valor</t>
        </is>
      </c>
    </row>
    <row r="6">
      <c r="A6" t="inlineStr">
        <is>
          <t>Proveedores evaluados</t>
        </is>
      </c>
      <c r="B6">
        <f>COUNTA(Proveedores!A2:A9)</f>
        <v/>
      </c>
    </row>
    <row r="7">
      <c r="A7" t="inlineStr">
        <is>
          <t>Riesgo Alto</t>
        </is>
      </c>
      <c r="B7">
        <f>COUNTIF(Proveedores!F2:F9,"Alto")</f>
        <v/>
      </c>
    </row>
    <row r="8">
      <c r="A8" t="inlineStr">
        <is>
          <t>Riesgo Medio</t>
        </is>
      </c>
      <c r="B8">
        <f>COUNTIF(Proveedores!F2:F9,"Medio")</f>
        <v/>
      </c>
    </row>
    <row r="9">
      <c r="A9" t="inlineStr">
        <is>
          <t>Riesgo Bajo</t>
        </is>
      </c>
      <c r="B9">
        <f>COUNTIF(Proveedores!F2:F9,"Bajo")</f>
        <v/>
      </c>
    </row>
    <row r="11">
      <c r="A11" t="inlineStr">
        <is>
          <t>Nota: "Bajo/Medio/Alto" es el nivel de riesgo del PROVEEDOR calculado por esta herramienta, distinto de "Bajo/Estandar/Alto" (clasificacion OFICIAL del pais, Reglamento 2025/1093), que es solo uno de los insumos del puntaje.</t>
        </is>
      </c>
    </row>
  </sheetData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6" customWidth="1" min="3" max="3"/>
    <col width="34" customWidth="1" min="4" max="4"/>
    <col width="70" customWidth="1" min="5" max="5"/>
  </cols>
  <sheetData>
    <row r="1">
      <c r="A1" s="2" t="inlineStr">
        <is>
          <t>Proveedor</t>
        </is>
      </c>
      <c r="B1" s="2" t="inlineStr">
        <is>
          <t>Puntos</t>
        </is>
      </c>
      <c r="C1" s="2" t="inlineStr">
        <is>
          <t>Articulo</t>
        </is>
      </c>
      <c r="D1" s="2" t="inlineStr">
        <is>
          <t>Factor</t>
        </is>
      </c>
      <c r="E1" s="2" t="inlineStr">
        <is>
          <t>Detalle</t>
        </is>
      </c>
    </row>
    <row r="2">
      <c r="A2" t="inlineStr">
        <is>
          <t>Exportadora del Norte</t>
        </is>
      </c>
      <c r="B2" t="n">
        <v>1</v>
      </c>
      <c r="C2" t="inlineStr">
        <is>
          <t>Art. 10(a)</t>
        </is>
      </c>
      <c r="D2" t="inlineStr">
        <is>
          <t>Clasificación de país: Estándar</t>
        </is>
      </c>
      <c r="E2" t="inlineStr">
        <is>
          <t>País(es) declarado(s): BR — Reglamento de Ejecución (UE) 2025/1093.</t>
        </is>
      </c>
    </row>
    <row r="3">
      <c r="A3" t="inlineStr">
        <is>
          <t>Exportadora del Norte</t>
        </is>
      </c>
      <c r="B3" t="n">
        <v>2</v>
      </c>
      <c r="C3" t="inlineStr">
        <is>
          <t>Art. 10(i)</t>
        </is>
      </c>
      <c r="D3" t="inlineStr">
        <is>
          <t>Cadena de suministro larga (3 intermediarios)</t>
        </is>
      </c>
      <c r="E3" t="inlineStr">
        <is>
          <t>3 o más intermediarios declarados entre el productor y el operador.</t>
        </is>
      </c>
    </row>
    <row r="4">
      <c r="A4" t="inlineStr">
        <is>
          <t>Exportadora del Norte</t>
        </is>
      </c>
      <c r="B4" t="n">
        <v>2</v>
      </c>
      <c r="C4" t="inlineStr">
        <is>
          <t>Art. 10(j) / Art. 13</t>
        </is>
      </c>
      <c r="D4" t="inlineStr">
        <is>
          <t>Riesgo de mezcla o elusión declarado</t>
        </is>
      </c>
      <c r="E4" t="inlineStr">
        <is>
          <t>Se declaró riesgo de mezcla con producto de origen desconocido o de países de mayor riesgo.</t>
        </is>
      </c>
    </row>
    <row r="5">
      <c r="A5" t="inlineStr">
        <is>
          <t>Exportadora del Norte</t>
        </is>
      </c>
      <c r="B5" t="n">
        <v>1</v>
      </c>
      <c r="C5" t="inlineStr">
        <is>
          <t>Art. 10(l)</t>
        </is>
      </c>
      <c r="D5" t="inlineStr">
        <is>
          <t>Historial de incumplimiento (2 incidente(s) previo(s))</t>
        </is>
      </c>
      <c r="E5" t="inlineStr">
        <is>
          <t>1-2 incidentes de incumplimiento declarados.</t>
        </is>
      </c>
    </row>
    <row r="6">
      <c r="A6" t="inlineStr">
        <is>
          <t>Establecimiento Yaguarete</t>
        </is>
      </c>
      <c r="B6" t="n">
        <v>1</v>
      </c>
      <c r="C6" t="inlineStr">
        <is>
          <t>Art. 10(a)</t>
        </is>
      </c>
      <c r="D6" t="inlineStr">
        <is>
          <t>Clasificación de país: Estándar</t>
        </is>
      </c>
      <c r="E6" t="inlineStr">
        <is>
          <t>País(es) declarado(s): AR — Reglamento de Ejecución (UE) 2025/1093.</t>
        </is>
      </c>
    </row>
    <row r="7">
      <c r="A7" t="inlineStr">
        <is>
          <t>Establecimiento Yaguarete</t>
        </is>
      </c>
      <c r="B7" t="n">
        <v>2</v>
      </c>
      <c r="C7" t="inlineStr">
        <is>
          <t>Art. 10(c)(d)(e)</t>
        </is>
      </c>
      <c r="D7" t="inlineStr">
        <is>
          <t>Pueblos indígenas presentes, SIN consulta documentada</t>
        </is>
      </c>
      <c r="E7" t="inlineStr">
        <is>
          <t>Al menos una parcela reporta presencia de pueblos indígenas sin que conste consulta documentada — riesgo no mitigado.</t>
        </is>
      </c>
    </row>
    <row r="8">
      <c r="A8" t="inlineStr">
        <is>
          <t>Maderera Litoral SA</t>
        </is>
      </c>
      <c r="B8" t="n">
        <v>1</v>
      </c>
      <c r="C8" t="inlineStr">
        <is>
          <t>Art. 10(a)</t>
        </is>
      </c>
      <c r="D8" t="inlineStr">
        <is>
          <t>Clasificación de país: Estándar</t>
        </is>
      </c>
      <c r="E8" t="inlineStr">
        <is>
          <t>País(es) declarado(s): AR — Reglamento de Ejecución (UE) 2025/1093.</t>
        </is>
      </c>
    </row>
    <row r="9">
      <c r="A9" t="inlineStr">
        <is>
          <t>Maderera Litoral SA</t>
        </is>
      </c>
      <c r="B9" t="n">
        <v>1</v>
      </c>
      <c r="C9" t="inlineStr">
        <is>
          <t>Art. 10(i)</t>
        </is>
      </c>
      <c r="D9" t="inlineStr">
        <is>
          <t>Cadena de suministro con intermediarios (2)</t>
        </is>
      </c>
      <c r="E9" t="inlineStr">
        <is>
          <t>1-2 intermediarios declarados.</t>
        </is>
      </c>
    </row>
    <row r="10">
      <c r="A10" t="inlineStr">
        <is>
          <t>Yerbatera San Ignacio</t>
        </is>
      </c>
      <c r="B10" t="n">
        <v>1</v>
      </c>
      <c r="C10" t="inlineStr">
        <is>
          <t>Art. 10(a)</t>
        </is>
      </c>
      <c r="D10" t="inlineStr">
        <is>
          <t>Clasificación de país: Estándar</t>
        </is>
      </c>
      <c r="E10" t="inlineStr">
        <is>
          <t>País(es) declarado(s): AR — Reglamento de Ejecución (UE) 2025/1093.</t>
        </is>
      </c>
    </row>
    <row r="11">
      <c r="A11" t="inlineStr">
        <is>
          <t>Yerbatera San Ignacio</t>
        </is>
      </c>
      <c r="B11" t="n">
        <v>0.5</v>
      </c>
      <c r="C11" t="inlineStr">
        <is>
          <t>Art. 10(c)(d)</t>
        </is>
      </c>
      <c r="D11" t="inlineStr">
        <is>
          <t>Pueblos indígenas presentes, con consulta documentada</t>
        </is>
      </c>
      <c r="E11" t="inlineStr">
        <is>
          <t>Al menos una parcela reporta presencia de pueblos indígenas; la consulta figura como documentada en todas ellas.</t>
        </is>
      </c>
    </row>
    <row r="12">
      <c r="A12" t="inlineStr">
        <is>
          <t>Forestal Don Aparicio</t>
        </is>
      </c>
      <c r="B12" t="n">
        <v>1</v>
      </c>
      <c r="C12" t="inlineStr">
        <is>
          <t>Art. 10(a)</t>
        </is>
      </c>
      <c r="D12" t="inlineStr">
        <is>
          <t>Clasificación de país: Estándar</t>
        </is>
      </c>
      <c r="E12" t="inlineStr">
        <is>
          <t>País(es) declarado(s): AR — Reglamento de Ejecución (UE) 2025/1093.</t>
        </is>
      </c>
    </row>
    <row r="13">
      <c r="A13" t="inlineStr">
        <is>
          <t>Cooperativa Binacional</t>
        </is>
      </c>
      <c r="B13" t="n">
        <v>1</v>
      </c>
      <c r="C13" t="inlineStr">
        <is>
          <t>Art. 10(a)</t>
        </is>
      </c>
      <c r="D13" t="inlineStr">
        <is>
          <t>Clasificación de país: Estándar</t>
        </is>
      </c>
      <c r="E13" t="inlineStr">
        <is>
          <t>País(es) declarado(s): AR, CL — Reglamento de Ejecución (UE) 2025/1093.</t>
        </is>
      </c>
    </row>
    <row r="14">
      <c r="A14" t="inlineStr">
        <is>
          <t>Vivero Andino SRL</t>
        </is>
      </c>
      <c r="B14" t="n">
        <v>0</v>
      </c>
      <c r="C14" t="inlineStr">
        <is>
          <t>Art. 10(a)</t>
        </is>
      </c>
      <c r="D14" t="inlineStr">
        <is>
          <t>Clasificación de país: Bajo</t>
        </is>
      </c>
      <c r="E14" t="inlineStr">
        <is>
          <t>País(es) declarado(s): CL — Reglamento de Ejecución (UE) 2025/1093.</t>
        </is>
      </c>
    </row>
    <row r="15">
      <c r="A15" t="inlineStr">
        <is>
          <t>Pinares Certificados SA</t>
        </is>
      </c>
      <c r="B15" t="n">
        <v>1</v>
      </c>
      <c r="C15" t="inlineStr">
        <is>
          <t>Art. 10(a)</t>
        </is>
      </c>
      <c r="D15" t="inlineStr">
        <is>
          <t>Clasificación de país: Estándar</t>
        </is>
      </c>
      <c r="E15" t="inlineStr">
        <is>
          <t>País(es) declarado(s): AR — Reglamento de Ejecución (UE) 2025/1093.</t>
        </is>
      </c>
    </row>
    <row r="16">
      <c r="A16" t="inlineStr">
        <is>
          <t>Pinares Certificados SA</t>
        </is>
      </c>
      <c r="B16" t="n">
        <v>-1.5</v>
      </c>
      <c r="C16" t="inlineStr">
        <is>
          <t>Art. 10(n)</t>
        </is>
      </c>
      <c r="D16" t="inlineStr">
        <is>
          <t>Certificación voluntaria: FSC</t>
        </is>
      </c>
      <c r="E16" t="inlineStr">
        <is>
          <t>Esquema de verificación por terceros o certificación voluntaria declarada — atenúa el riesgo, no lo elimina; sigue exigiendo el resto de la debida diligencia.</t>
        </is>
      </c>
    </row>
  </sheetData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9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6" customWidth="1" min="3" max="3"/>
    <col width="34" customWidth="1" min="4" max="4"/>
    <col width="70" customWidth="1" min="5" max="5"/>
  </cols>
  <sheetData>
    <row r="1">
      <c r="A1" s="2" t="inlineStr">
        <is>
          <t>Proveedor</t>
        </is>
      </c>
      <c r="B1" s="2" t="inlineStr">
        <is>
          <t>Parcelas</t>
        </is>
      </c>
      <c r="C1" s="2" t="inlineStr">
        <is>
          <t>Superficie (ha)</t>
        </is>
      </c>
      <c r="D1" s="2" t="inlineStr">
        <is>
          <t>Paises</t>
        </is>
      </c>
      <c r="E1" s="2" t="inlineStr">
        <is>
          <t>Puntaje total</t>
        </is>
      </c>
      <c r="F1" s="2" t="inlineStr">
        <is>
          <t>Nivel</t>
        </is>
      </c>
    </row>
    <row r="2">
      <c r="A2" t="inlineStr">
        <is>
          <t>Exportadora del Norte</t>
        </is>
      </c>
      <c r="B2" t="n">
        <v>1</v>
      </c>
      <c r="C2" t="n">
        <v>12</v>
      </c>
      <c r="D2" t="inlineStr">
        <is>
          <t>BR</t>
        </is>
      </c>
      <c r="E2" t="n">
        <v>6</v>
      </c>
      <c r="F2" t="inlineStr">
        <is>
          <t>Alto</t>
        </is>
      </c>
    </row>
    <row r="3">
      <c r="A3" t="inlineStr">
        <is>
          <t>Establecimiento Yaguarete</t>
        </is>
      </c>
      <c r="B3" t="n">
        <v>1</v>
      </c>
      <c r="C3" t="n">
        <v>8</v>
      </c>
      <c r="D3" t="inlineStr">
        <is>
          <t>AR</t>
        </is>
      </c>
      <c r="E3" t="n">
        <v>3</v>
      </c>
      <c r="F3" t="inlineStr">
        <is>
          <t>Medio</t>
        </is>
      </c>
    </row>
    <row r="4">
      <c r="A4" t="inlineStr">
        <is>
          <t>Maderera Litoral SA</t>
        </is>
      </c>
      <c r="B4" t="n">
        <v>1</v>
      </c>
      <c r="C4" t="n">
        <v>6</v>
      </c>
      <c r="D4" t="inlineStr">
        <is>
          <t>AR</t>
        </is>
      </c>
      <c r="E4" t="n">
        <v>2</v>
      </c>
      <c r="F4" t="inlineStr">
        <is>
          <t>Medio</t>
        </is>
      </c>
    </row>
    <row r="5">
      <c r="A5" t="inlineStr">
        <is>
          <t>Yerbatera San Ignacio</t>
        </is>
      </c>
      <c r="B5" t="n">
        <v>1</v>
      </c>
      <c r="C5" t="n">
        <v>7</v>
      </c>
      <c r="D5" t="inlineStr">
        <is>
          <t>AR</t>
        </is>
      </c>
      <c r="E5" t="n">
        <v>1.5</v>
      </c>
      <c r="F5" t="inlineStr">
        <is>
          <t>Bajo</t>
        </is>
      </c>
    </row>
    <row r="6">
      <c r="A6" t="inlineStr">
        <is>
          <t>Forestal Don Aparicio</t>
        </is>
      </c>
      <c r="B6" t="n">
        <v>1</v>
      </c>
      <c r="C6" t="n">
        <v>4.2</v>
      </c>
      <c r="D6" t="inlineStr">
        <is>
          <t>AR</t>
        </is>
      </c>
      <c r="E6" t="n">
        <v>1</v>
      </c>
      <c r="F6" t="inlineStr">
        <is>
          <t>Bajo</t>
        </is>
      </c>
    </row>
    <row r="7">
      <c r="A7" t="inlineStr">
        <is>
          <t>Cooperativa Binacional</t>
        </is>
      </c>
      <c r="B7" t="n">
        <v>2</v>
      </c>
      <c r="C7" t="n">
        <v>6</v>
      </c>
      <c r="D7" t="inlineStr">
        <is>
          <t>AR, CL</t>
        </is>
      </c>
      <c r="E7" t="n">
        <v>1</v>
      </c>
      <c r="F7" t="inlineStr">
        <is>
          <t>Bajo</t>
        </is>
      </c>
    </row>
    <row r="8">
      <c r="A8" t="inlineStr">
        <is>
          <t>Vivero Andino SRL</t>
        </is>
      </c>
      <c r="B8" t="n">
        <v>1</v>
      </c>
      <c r="C8" t="n">
        <v>5</v>
      </c>
      <c r="D8" t="inlineStr">
        <is>
          <t>CL</t>
        </is>
      </c>
      <c r="E8" t="n">
        <v>0</v>
      </c>
      <c r="F8" t="inlineStr">
        <is>
          <t>Bajo</t>
        </is>
      </c>
    </row>
    <row r="9">
      <c r="A9" t="inlineStr">
        <is>
          <t>Pinares Certificados SA</t>
        </is>
      </c>
      <c r="B9" t="n">
        <v>1</v>
      </c>
      <c r="C9" t="n">
        <v>10</v>
      </c>
      <c r="D9" t="inlineStr">
        <is>
          <t>AR</t>
        </is>
      </c>
      <c r="E9" t="n">
        <v>0</v>
      </c>
      <c r="F9" t="inlineStr">
        <is>
          <t>Bajo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2026-09-18T09:14:49Z</dcterms:created>
  <dcterms:modified xmlns:dcterms="http://purl.org/dc/terms/" xmlns:xsi="http://www.w3.org/2001/XMLSchema-instance" xsi:type="dcterms:W3CDTF">2026-09-18T09:14:49Z</dcterms:modified>
</cp:coreProperties>
</file>