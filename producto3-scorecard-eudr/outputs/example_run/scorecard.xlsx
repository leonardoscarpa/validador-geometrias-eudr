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Sup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Supplier risk scorecard: EUDR (Art. 10)</t>
        </is>
      </c>
    </row>
    <row r="2">
      <c r="A2" t="inlineStr">
        <is>
          <t>Input file</t>
        </is>
      </c>
      <c r="B2" t="inlineStr">
        <is>
          <t>synthetic_suppliers.xlsx</t>
        </is>
      </c>
    </row>
    <row r="3">
      <c r="A3" t="inlineStr">
        <is>
          <t>Generated</t>
        </is>
      </c>
      <c r="B3" t="inlineStr">
        <is>
          <t>2026-10-22 11:16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Suppliers evaluated</t>
        </is>
      </c>
      <c r="B6">
        <f>COUNTA(Suppliers!A2:A9)</f>
        <v/>
      </c>
    </row>
    <row r="7">
      <c r="A7" t="inlineStr">
        <is>
          <t>High risk</t>
        </is>
      </c>
      <c r="B7">
        <f>COUNTIF(Suppliers!F2:F9,"High")</f>
        <v/>
      </c>
    </row>
    <row r="8">
      <c r="A8" t="inlineStr">
        <is>
          <t>Medium risk</t>
        </is>
      </c>
      <c r="B8">
        <f>COUNTIF(Suppliers!F2:F9,"Medium")</f>
        <v/>
      </c>
    </row>
    <row r="9">
      <c r="A9" t="inlineStr">
        <is>
          <t>Low risk</t>
        </is>
      </c>
      <c r="B9">
        <f>COUNTIF(Suppliers!F2:F9,"Low")</f>
        <v/>
      </c>
    </row>
    <row r="11">
      <c r="A11" t="inlineStr">
        <is>
          <t>Note: "Low/Medium/High" is the risk level of the SUPPLIER computed by this tool, different from "Low/Standard/High" (OFFICIAL country classification, Regulation 2025/1093), which is only one of the inputs to the score.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34" customWidth="1" min="4" max="4"/>
    <col width="70" customWidth="1" min="5" max="5"/>
  </cols>
  <sheetData>
    <row r="1">
      <c r="A1" s="2" t="inlineStr">
        <is>
          <t>Supplier</t>
        </is>
      </c>
      <c r="B1" s="2" t="inlineStr">
        <is>
          <t>Points</t>
        </is>
      </c>
      <c r="C1" s="2" t="inlineStr">
        <is>
          <t>Article</t>
        </is>
      </c>
      <c r="D1" s="2" t="inlineStr">
        <is>
          <t>Factor</t>
        </is>
      </c>
      <c r="E1" s="2" t="inlineStr">
        <is>
          <t>Detail</t>
        </is>
      </c>
    </row>
    <row r="2">
      <c r="A2" t="inlineStr">
        <is>
          <t>Exportadora del Norte</t>
        </is>
      </c>
      <c r="B2" t="n">
        <v>1</v>
      </c>
      <c r="C2" t="inlineStr">
        <is>
          <t>Art. 10(a)</t>
        </is>
      </c>
      <c r="D2" t="inlineStr">
        <is>
          <t>Country classification: Standard</t>
        </is>
      </c>
      <c r="E2" t="inlineStr">
        <is>
          <t>Declared country(ies): BR per Implementing Regulation (EU) 2025/1093.</t>
        </is>
      </c>
    </row>
    <row r="3">
      <c r="A3" t="inlineStr">
        <is>
          <t>Exportadora del Norte</t>
        </is>
      </c>
      <c r="B3" t="n">
        <v>2</v>
      </c>
      <c r="C3" t="inlineStr">
        <is>
          <t>Art. 10(i)</t>
        </is>
      </c>
      <c r="D3" t="inlineStr">
        <is>
          <t>Long supply chain (3 intermediaries)</t>
        </is>
      </c>
      <c r="E3" t="inlineStr">
        <is>
          <t>3 or more intermediaries declared between the producer and the operator.</t>
        </is>
      </c>
    </row>
    <row r="4">
      <c r="A4" t="inlineStr">
        <is>
          <t>Exportadora del Norte</t>
        </is>
      </c>
      <c r="B4" t="n">
        <v>2</v>
      </c>
      <c r="C4" t="inlineStr">
        <is>
          <t>Art. 10(j) / Art. 13</t>
        </is>
      </c>
      <c r="D4" t="inlineStr">
        <is>
          <t>Mixing or circumvention risk declared</t>
        </is>
      </c>
      <c r="E4" t="inlineStr">
        <is>
          <t>A risk of mixing with product of unknown origin or from higher-risk countries was declared.</t>
        </is>
      </c>
    </row>
    <row r="5">
      <c r="A5" t="inlineStr">
        <is>
          <t>Exportadora del Norte</t>
        </is>
      </c>
      <c r="B5" t="n">
        <v>1</v>
      </c>
      <c r="C5" t="inlineStr">
        <is>
          <t>Art. 10(l)</t>
        </is>
      </c>
      <c r="D5" t="inlineStr">
        <is>
          <t>Non-compliance history (2 prior incident(s))</t>
        </is>
      </c>
      <c r="E5" t="inlineStr">
        <is>
          <t>1-2 non-compliance incidents declared.</t>
        </is>
      </c>
    </row>
    <row r="6">
      <c r="A6" t="inlineStr">
        <is>
          <t>Establecimiento Yaguarete</t>
        </is>
      </c>
      <c r="B6" t="n">
        <v>1</v>
      </c>
      <c r="C6" t="inlineStr">
        <is>
          <t>Art. 10(a)</t>
        </is>
      </c>
      <c r="D6" t="inlineStr">
        <is>
          <t>Country classification: Standard</t>
        </is>
      </c>
      <c r="E6" t="inlineStr">
        <is>
          <t>Declared country(ies): AR per Implementing Regulation (EU) 2025/1093.</t>
        </is>
      </c>
    </row>
    <row r="7">
      <c r="A7" t="inlineStr">
        <is>
          <t>Establecimiento Yaguarete</t>
        </is>
      </c>
      <c r="B7" t="n">
        <v>2</v>
      </c>
      <c r="C7" t="inlineStr">
        <is>
          <t>Art. 10(c)(d)(e)</t>
        </is>
      </c>
      <c r="D7" t="inlineStr">
        <is>
          <t>Indigenous peoples present, WITHOUT documented consultation</t>
        </is>
      </c>
      <c r="E7" t="inlineStr">
        <is>
          <t>At least one parcel reports the presence of indigenous peoples with no documented consultation. Unmitigated risk.</t>
        </is>
      </c>
    </row>
    <row r="8">
      <c r="A8" t="inlineStr">
        <is>
          <t>Maderera Litoral SA</t>
        </is>
      </c>
      <c r="B8" t="n">
        <v>1</v>
      </c>
      <c r="C8" t="inlineStr">
        <is>
          <t>Art. 10(a)</t>
        </is>
      </c>
      <c r="D8" t="inlineStr">
        <is>
          <t>Country classification: Standard</t>
        </is>
      </c>
      <c r="E8" t="inlineStr">
        <is>
          <t>Declared country(ies): AR per Implementing Regulation (EU) 2025/1093.</t>
        </is>
      </c>
    </row>
    <row r="9">
      <c r="A9" t="inlineStr">
        <is>
          <t>Maderera Litoral SA</t>
        </is>
      </c>
      <c r="B9" t="n">
        <v>1</v>
      </c>
      <c r="C9" t="inlineStr">
        <is>
          <t>Art. 10(i)</t>
        </is>
      </c>
      <c r="D9" t="inlineStr">
        <is>
          <t>Supply chain with intermediaries (2)</t>
        </is>
      </c>
      <c r="E9" t="inlineStr">
        <is>
          <t>1-2 intermediaries declared.</t>
        </is>
      </c>
    </row>
    <row r="10">
      <c r="A10" t="inlineStr">
        <is>
          <t>Yerbatera San Ignacio</t>
        </is>
      </c>
      <c r="B10" t="n">
        <v>1</v>
      </c>
      <c r="C10" t="inlineStr">
        <is>
          <t>Art. 10(a)</t>
        </is>
      </c>
      <c r="D10" t="inlineStr">
        <is>
          <t>Country classification: Standard</t>
        </is>
      </c>
      <c r="E10" t="inlineStr">
        <is>
          <t>Declared country(ies): AR per Implementing Regulation (EU) 2025/1093.</t>
        </is>
      </c>
    </row>
    <row r="11">
      <c r="A11" t="inlineStr">
        <is>
          <t>Yerbatera San Ignacio</t>
        </is>
      </c>
      <c r="B11" t="n">
        <v>0.5</v>
      </c>
      <c r="C11" t="inlineStr">
        <is>
          <t>Art. 10(c)(d)</t>
        </is>
      </c>
      <c r="D11" t="inlineStr">
        <is>
          <t>Indigenous peoples present, with documented consultation</t>
        </is>
      </c>
      <c r="E11" t="inlineStr">
        <is>
          <t>At least one parcel reports the presence of indigenous peoples; consultation is documented for all of them.</t>
        </is>
      </c>
    </row>
    <row r="12">
      <c r="A12" t="inlineStr">
        <is>
          <t>Forestal Don Aparicio</t>
        </is>
      </c>
      <c r="B12" t="n">
        <v>1</v>
      </c>
      <c r="C12" t="inlineStr">
        <is>
          <t>Art. 10(a)</t>
        </is>
      </c>
      <c r="D12" t="inlineStr">
        <is>
          <t>Country classification: Standard</t>
        </is>
      </c>
      <c r="E12" t="inlineStr">
        <is>
          <t>Declared country(ies): AR per Implementing Regulation (EU) 2025/1093.</t>
        </is>
      </c>
    </row>
    <row r="13">
      <c r="A13" t="inlineStr">
        <is>
          <t>Cooperativa Binacional</t>
        </is>
      </c>
      <c r="B13" t="n">
        <v>1</v>
      </c>
      <c r="C13" t="inlineStr">
        <is>
          <t>Art. 10(a)</t>
        </is>
      </c>
      <c r="D13" t="inlineStr">
        <is>
          <t>Country classification: Standard</t>
        </is>
      </c>
      <c r="E13" t="inlineStr">
        <is>
          <t>Declared country(ies): AR, CL per Implementing Regulation (EU) 2025/1093.</t>
        </is>
      </c>
    </row>
    <row r="14">
      <c r="A14" t="inlineStr">
        <is>
          <t>Vivero Andino SRL</t>
        </is>
      </c>
      <c r="B14" t="n">
        <v>0</v>
      </c>
      <c r="C14" t="inlineStr">
        <is>
          <t>Art. 10(a)</t>
        </is>
      </c>
      <c r="D14" t="inlineStr">
        <is>
          <t>Country classification: Low</t>
        </is>
      </c>
      <c r="E14" t="inlineStr">
        <is>
          <t>Declared country(ies): CL per Implementing Regulation (EU) 2025/1093.</t>
        </is>
      </c>
    </row>
    <row r="15">
      <c r="A15" t="inlineStr">
        <is>
          <t>Pinares Certificados SA</t>
        </is>
      </c>
      <c r="B15" t="n">
        <v>1</v>
      </c>
      <c r="C15" t="inlineStr">
        <is>
          <t>Art. 10(a)</t>
        </is>
      </c>
      <c r="D15" t="inlineStr">
        <is>
          <t>Country classification: Standard</t>
        </is>
      </c>
      <c r="E15" t="inlineStr">
        <is>
          <t>Declared country(ies): AR per Implementing Regulation (EU) 2025/1093.</t>
        </is>
      </c>
    </row>
    <row r="16">
      <c r="A16" t="inlineStr">
        <is>
          <t>Pinares Certificados SA</t>
        </is>
      </c>
      <c r="B16" t="n">
        <v>-1.5</v>
      </c>
      <c r="C16" t="inlineStr">
        <is>
          <t>Art. 10(n)</t>
        </is>
      </c>
      <c r="D16" t="inlineStr">
        <is>
          <t>Voluntary certification: FSC</t>
        </is>
      </c>
      <c r="E16" t="inlineStr">
        <is>
          <t>Third-party verification scheme or voluntary certification declared. It mitigates the risk but does not remove it; the rest of the due diligence is still required.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34" customWidth="1" min="4" max="4"/>
    <col width="70" customWidth="1" min="5" max="5"/>
  </cols>
  <sheetData>
    <row r="1">
      <c r="A1" s="2" t="inlineStr">
        <is>
          <t>Supplier</t>
        </is>
      </c>
      <c r="B1" s="2" t="inlineStr">
        <is>
          <t>Parcels</t>
        </is>
      </c>
      <c r="C1" s="2" t="inlineStr">
        <is>
          <t>Area (ha)</t>
        </is>
      </c>
      <c r="D1" s="2" t="inlineStr">
        <is>
          <t>Countries</t>
        </is>
      </c>
      <c r="E1" s="2" t="inlineStr">
        <is>
          <t>Total score</t>
        </is>
      </c>
      <c r="F1" s="2" t="inlineStr">
        <is>
          <t>Level</t>
        </is>
      </c>
    </row>
    <row r="2">
      <c r="A2" t="inlineStr">
        <is>
          <t>Exportadora del Norte</t>
        </is>
      </c>
      <c r="B2" t="n">
        <v>1</v>
      </c>
      <c r="C2" t="n">
        <v>12</v>
      </c>
      <c r="D2" t="inlineStr">
        <is>
          <t>BR</t>
        </is>
      </c>
      <c r="E2" t="n">
        <v>6</v>
      </c>
      <c r="F2" t="inlineStr">
        <is>
          <t>High</t>
        </is>
      </c>
    </row>
    <row r="3">
      <c r="A3" t="inlineStr">
        <is>
          <t>Establecimiento Yaguarete</t>
        </is>
      </c>
      <c r="B3" t="n">
        <v>1</v>
      </c>
      <c r="C3" t="n">
        <v>8</v>
      </c>
      <c r="D3" t="inlineStr">
        <is>
          <t>AR</t>
        </is>
      </c>
      <c r="E3" t="n">
        <v>3</v>
      </c>
      <c r="F3" t="inlineStr">
        <is>
          <t>Medium</t>
        </is>
      </c>
    </row>
    <row r="4">
      <c r="A4" t="inlineStr">
        <is>
          <t>Maderera Litoral SA</t>
        </is>
      </c>
      <c r="B4" t="n">
        <v>1</v>
      </c>
      <c r="C4" t="n">
        <v>6</v>
      </c>
      <c r="D4" t="inlineStr">
        <is>
          <t>AR</t>
        </is>
      </c>
      <c r="E4" t="n">
        <v>2</v>
      </c>
      <c r="F4" t="inlineStr">
        <is>
          <t>Medium</t>
        </is>
      </c>
    </row>
    <row r="5">
      <c r="A5" t="inlineStr">
        <is>
          <t>Yerbatera San Ignacio</t>
        </is>
      </c>
      <c r="B5" t="n">
        <v>1</v>
      </c>
      <c r="C5" t="n">
        <v>7</v>
      </c>
      <c r="D5" t="inlineStr">
        <is>
          <t>AR</t>
        </is>
      </c>
      <c r="E5" t="n">
        <v>1.5</v>
      </c>
      <c r="F5" t="inlineStr">
        <is>
          <t>Low</t>
        </is>
      </c>
    </row>
    <row r="6">
      <c r="A6" t="inlineStr">
        <is>
          <t>Forestal Don Aparicio</t>
        </is>
      </c>
      <c r="B6" t="n">
        <v>1</v>
      </c>
      <c r="C6" t="n">
        <v>4.2</v>
      </c>
      <c r="D6" t="inlineStr">
        <is>
          <t>AR</t>
        </is>
      </c>
      <c r="E6" t="n">
        <v>1</v>
      </c>
      <c r="F6" t="inlineStr">
        <is>
          <t>Low</t>
        </is>
      </c>
    </row>
    <row r="7">
      <c r="A7" t="inlineStr">
        <is>
          <t>Cooperativa Binacional</t>
        </is>
      </c>
      <c r="B7" t="n">
        <v>2</v>
      </c>
      <c r="C7" t="n">
        <v>6</v>
      </c>
      <c r="D7" t="inlineStr">
        <is>
          <t>AR, CL</t>
        </is>
      </c>
      <c r="E7" t="n">
        <v>1</v>
      </c>
      <c r="F7" t="inlineStr">
        <is>
          <t>Low</t>
        </is>
      </c>
    </row>
    <row r="8">
      <c r="A8" t="inlineStr">
        <is>
          <t>Vivero Andino SRL</t>
        </is>
      </c>
      <c r="B8" t="n">
        <v>1</v>
      </c>
      <c r="C8" t="n">
        <v>5</v>
      </c>
      <c r="D8" t="inlineStr">
        <is>
          <t>CL</t>
        </is>
      </c>
      <c r="E8" t="n">
        <v>0</v>
      </c>
      <c r="F8" t="inlineStr">
        <is>
          <t>Low</t>
        </is>
      </c>
    </row>
    <row r="9">
      <c r="A9" t="inlineStr">
        <is>
          <t>Pinares Certificados SA</t>
        </is>
      </c>
      <c r="B9" t="n">
        <v>1</v>
      </c>
      <c r="C9" t="n">
        <v>10</v>
      </c>
      <c r="D9" t="inlineStr">
        <is>
          <t>AR</t>
        </is>
      </c>
      <c r="E9" t="n">
        <v>0</v>
      </c>
      <c r="F9" t="inlineStr">
        <is>
          <t>Low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2026-10-22T09:16:30Z</dcterms:created>
  <dcterms:modified xmlns:dcterms="http://purl.org/dc/terms/" xmlns:xsi="http://www.w3.org/2001/XMLSchema-instance" xsi:type="dcterms:W3CDTF">2026-10-22T09:16:30Z</dcterms:modified>
</cp:coreProperties>
</file>