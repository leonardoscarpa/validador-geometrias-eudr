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  <sheet xmlns:r="http://schemas.openxmlformats.org/officeDocument/2006/relationships" name="Parce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4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F5233"/>
        <bgColor rgb="002F52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Quality report: EUDR supplier geometry validator</t>
        </is>
      </c>
    </row>
    <row r="2">
      <c r="A2" s="2" t="inlineStr">
        <is>
          <t>Input file</t>
        </is>
      </c>
      <c r="B2" s="3" t="inlineStr">
        <is>
          <t>synthetic_planilla_proveedores.xlsx</t>
        </is>
      </c>
    </row>
    <row r="3">
      <c r="A3" s="2" t="inlineStr">
        <is>
          <t>Generated</t>
        </is>
      </c>
      <c r="B3" s="3" t="inlineStr">
        <is>
          <t>2026-10-22 11:14</t>
        </is>
      </c>
    </row>
    <row r="4">
      <c r="A4" s="2" t="inlineStr">
        <is>
          <t>Commodity</t>
        </is>
      </c>
      <c r="B4" s="3" t="inlineStr">
        <is>
          <t>Wood (Southern Cone)</t>
        </is>
      </c>
    </row>
    <row r="5">
      <c r="A5" s="2" t="inlineStr">
        <is>
          <t>Reference format</t>
        </is>
      </c>
      <c r="B5" s="3" t="inlineStr">
        <is>
          <t>EUDR GeoJSON File Description v1.5 (Regulation 2024/3084)</t>
        </is>
      </c>
    </row>
    <row r="7">
      <c r="A7" s="4" t="inlineStr">
        <is>
          <t>Metric</t>
        </is>
      </c>
      <c r="B7" s="4" t="inlineStr">
        <is>
          <t>Value</t>
        </is>
      </c>
    </row>
    <row r="8">
      <c r="A8" s="3" t="inlineStr">
        <is>
          <t>Parcels evaluated</t>
        </is>
      </c>
      <c r="B8" s="2">
        <f>COUNTA(Parcels!A2:A16)</f>
        <v/>
      </c>
    </row>
    <row r="9">
      <c r="A9" s="3" t="inlineStr">
        <is>
          <t>Parcels ready to submit as-is</t>
        </is>
      </c>
      <c r="B9" s="2">
        <f>COUNTIF(Parcels!F2:F16,"Ready")</f>
        <v/>
      </c>
    </row>
    <row r="10">
      <c r="A10" s="3" t="inlineStr">
        <is>
          <t>Parcels with blocking error</t>
        </is>
      </c>
      <c r="B10" s="2">
        <f>COUNTIF(Parcels!F2:F16,"Has error")</f>
        <v/>
      </c>
    </row>
    <row r="11">
      <c r="A11" s="3" t="inlineStr">
        <is>
          <t>Blocking errors (total)</t>
        </is>
      </c>
      <c r="B11" s="2">
        <f>COUNTIF(Findings!A2:A20,"ERROR")</f>
        <v/>
      </c>
    </row>
    <row r="12">
      <c r="A12" s="3" t="inlineStr">
        <is>
          <t>Warnings (non-blocking)</t>
        </is>
      </c>
      <c r="B12" s="2">
        <f>COUNTIF(Findings!A2:A20,"WARNING")</f>
        <v/>
      </c>
    </row>
    <row r="13">
      <c r="A13" s="3" t="inlineStr">
        <is>
          <t>Conversion notes</t>
        </is>
      </c>
      <c r="B13" s="2">
        <f>COUNTIF(Findings!A2:A20,"INFO")</f>
        <v/>
      </c>
    </row>
    <row r="15">
      <c r="A15" t="inlineStr">
        <is>
          <t>What "ready" means: the parcel has no finding of severity Blocking error. The output GeoJSON contains only the ready parcels.</t>
        </is>
      </c>
    </row>
  </sheetData>
  <printOptions horizontalCentered="0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70" customWidth="1" min="4" max="4"/>
    <col width="55" customWidth="1" min="5" max="5"/>
  </cols>
  <sheetData>
    <row r="1">
      <c r="A1" s="4" t="inlineStr">
        <is>
          <t>Severity</t>
        </is>
      </c>
      <c r="B1" s="4" t="inlineStr">
        <is>
          <t>ParcelID</t>
        </is>
      </c>
      <c r="C1" s="4" t="inlineStr">
        <is>
          <t>Code</t>
        </is>
      </c>
      <c r="D1" s="4" t="inlineStr">
        <is>
          <t>Message</t>
        </is>
      </c>
      <c r="E1" s="4" t="inlineStr">
        <is>
          <t>Regulatory reference</t>
        </is>
      </c>
    </row>
    <row r="2">
      <c r="A2" s="5" t="inlineStr">
        <is>
          <t>ERROR</t>
        </is>
      </c>
      <c r="B2" s="5" t="inlineStr">
        <is>
          <t>MSNS-011-INVALIDISO</t>
        </is>
      </c>
      <c r="C2" s="5" t="inlineStr">
        <is>
          <t>COUNTRY_INVALID_ISO</t>
        </is>
      </c>
      <c r="D2" s="6" t="inlineStr">
        <is>
          <t>'ZZ' is not a valid ISO 3166-1 alpha-2 code.</t>
        </is>
      </c>
      <c r="E2" s="5" t="inlineStr">
        <is>
          <t>EUDR GeoJSON File Description v1.5</t>
        </is>
      </c>
    </row>
    <row r="3">
      <c r="A3" s="5" t="inlineStr">
        <is>
          <t>ERROR</t>
        </is>
      </c>
      <c r="B3" s="5" t="inlineStr">
        <is>
          <t>MSNS-006-LATLONSWAP</t>
        </is>
      </c>
      <c r="C3" s="5" t="inlineStr">
        <is>
          <t>COUNTRY_MISMATCH</t>
        </is>
      </c>
      <c r="D3" s="6" t="inlineStr">
        <is>
          <t>ProducerCountry='AR' does not match the actual location of the geometry (the parcel centroid falls outside the declared country, even with a tolerance margin).</t>
        </is>
      </c>
      <c r="E3" s="5" t="inlineStr">
        <is>
          <t>EUDR GeoJSON File Description v1.5</t>
        </is>
      </c>
    </row>
    <row r="4">
      <c r="A4" s="5" t="inlineStr">
        <is>
          <t>ERROR</t>
        </is>
      </c>
      <c r="B4" s="5" t="inlineStr">
        <is>
          <t>MSNS-014-SELFINTERSECT</t>
        </is>
      </c>
      <c r="C4" s="5" t="inlineStr">
        <is>
          <t>GEOM_SELF_INTERSECTION</t>
        </is>
      </c>
      <c r="D4" s="6" t="inlineStr">
        <is>
          <t>The vertex sequence produces an invalid geometry (self-intersecting, figure-eight shape). Check the vertex order.</t>
        </is>
      </c>
      <c r="E4" s="5" t="inlineStr">
        <is>
          <t>EUDR GeoJSON File Description v1.5</t>
        </is>
      </c>
    </row>
    <row r="5">
      <c r="A5" s="5" t="inlineStr">
        <is>
          <t>ERROR</t>
        </is>
      </c>
      <c r="B5" s="5" t="inlineStr">
        <is>
          <t>MSNS-003-MISSINGLATLON</t>
        </is>
      </c>
      <c r="C5" s="5" t="inlineStr">
        <is>
          <t>ING_MISSING_LATLON</t>
        </is>
      </c>
      <c r="D5" s="6" t="inlineStr">
        <is>
          <t>Latitude or Longitude is missing.</t>
        </is>
      </c>
      <c r="E5" s="5" t="inlineStr">
        <is>
          <t>Product 1: tabular input schema</t>
        </is>
      </c>
    </row>
    <row r="6">
      <c r="A6" s="5" t="inlineStr">
        <is>
          <t>ERROR</t>
        </is>
      </c>
      <c r="B6" s="5" t="inlineStr">
        <is>
          <t>MSNS-004-TWOVERTICES</t>
        </is>
      </c>
      <c r="C6" s="5" t="inlineStr">
        <is>
          <t>ING_TWO_VERTICES</t>
        </is>
      </c>
      <c r="D6" s="6" t="inlineStr">
        <is>
          <t>The parcel has exactly 2 vertex rows: not enough for a polygon (minimum 3 distinct vertices) and not a single point. Check whether a vertex is missing or one was declared too many.</t>
        </is>
      </c>
      <c r="E6" s="5" t="inlineStr">
        <is>
          <t>Product 1: tabular input schema</t>
        </is>
      </c>
    </row>
    <row r="7">
      <c r="A7" s="5" t="inlineStr">
        <is>
          <t>ERROR</t>
        </is>
      </c>
      <c r="B7" s="5" t="inlineStr">
        <is>
          <t>MSNS-010-OVERLAP-A / MSNS-010-OVERLAP-B</t>
        </is>
      </c>
      <c r="C7" s="5" t="inlineStr">
        <is>
          <t>PARCELS_OVERLAP</t>
        </is>
      </c>
      <c r="D7" s="6" t="inlineStr">
        <is>
          <t>Parcel 'MSNS-010-OVERLAP-A' overlaps with 'MSNS-010-OVERLAP-B' by 7.170 ha.</t>
        </is>
      </c>
      <c r="E7" s="5" t="inlineStr">
        <is>
          <t>EUDR GeoJSON File Description v1.5</t>
        </is>
      </c>
    </row>
    <row r="8">
      <c r="A8" s="5" t="inlineStr">
        <is>
          <t>ERROR</t>
        </is>
      </c>
      <c r="B8" s="5" t="inlineStr">
        <is>
          <t>MSNS-008-4HAVIOLATION</t>
        </is>
      </c>
      <c r="C8" s="5" t="inlineStr">
        <is>
          <t>RULE_4HA_VIOLATION</t>
        </is>
      </c>
      <c r="D8" s="6" t="inlineStr">
        <is>
          <t>Declared Area = 8.0 ha (&gt; 4 ha) but the geometry is a Point. Parcels larger than 4 ha must be declared as a polygon, with enough vertices to describe the perimeter.</t>
        </is>
      </c>
      <c r="E8" s="5" t="inlineStr">
        <is>
          <t>Regulation (EU) 2023/1115, Art. 9</t>
        </is>
      </c>
    </row>
    <row r="9">
      <c r="A9" s="5" t="inlineStr">
        <is>
          <t>WARNING</t>
        </is>
      </c>
      <c r="B9" s="5" t="inlineStr">
        <is>
          <t>MSNS-013-AREAMISMATCH</t>
        </is>
      </c>
      <c r="C9" s="5" t="inlineStr">
        <is>
          <t>AREA_MISMATCH</t>
        </is>
      </c>
      <c r="D9" s="6" t="inlineStr">
        <is>
          <t>The computed area of the geometry (14.94 ha) exceeds 4 ha but the declared Area (1.5 ha) does not. Check which of the two values is correct.</t>
        </is>
      </c>
      <c r="E9" s="5" t="inlineStr">
        <is>
          <t>EUDR GeoJSON File Description v1.5</t>
        </is>
      </c>
    </row>
    <row r="10">
      <c r="A10" s="5" t="inlineStr">
        <is>
          <t>WARNING</t>
        </is>
      </c>
      <c r="B10" s="5" t="inlineStr">
        <is>
          <t>MSNS-007-PRECISION</t>
        </is>
      </c>
      <c r="C10" s="5" t="inlineStr">
        <is>
          <t>COORD_PRECISION</t>
        </is>
      </c>
      <c r="D10" s="6" t="inlineStr">
        <is>
          <t>The longitude has 14 decimal places (recommended maximum: 6). More than 6 decimals can produce duplicate coordinates through rounding when processed by the system.</t>
        </is>
      </c>
      <c r="E10" s="5" t="inlineStr">
        <is>
          <t>EUDR GeoJSON File Description v1.5</t>
        </is>
      </c>
    </row>
    <row r="11">
      <c r="A11" s="5" t="inlineStr">
        <is>
          <t>WARNING</t>
        </is>
      </c>
      <c r="B11" s="5" t="inlineStr">
        <is>
          <t>MSNS-007-PRECISION</t>
        </is>
      </c>
      <c r="C11" s="5" t="inlineStr">
        <is>
          <t>COORD_PRECISION</t>
        </is>
      </c>
      <c r="D11" s="6" t="inlineStr">
        <is>
          <t>The latitude has 14 decimal places (recommended maximum: 6). More than 6 decimals can produce duplicate coordinates through rounding when processed by the system.</t>
        </is>
      </c>
      <c r="E11" s="5" t="inlineStr">
        <is>
          <t>EUDR GeoJSON File Description v1.5</t>
        </is>
      </c>
    </row>
    <row r="12">
      <c r="A12" s="5" t="inlineStr">
        <is>
          <t>WARNING</t>
        </is>
      </c>
      <c r="B12" s="5" t="inlineStr">
        <is>
          <t>MSNS-005-INCONSISTENT</t>
        </is>
      </c>
      <c r="C12" s="5" t="inlineStr">
        <is>
          <t>ING_METADATA_INCONSISTENT</t>
        </is>
      </c>
      <c r="D12" s="6" t="inlineStr">
        <is>
          <t>The property 'ProducerCountry' has different values across rows of the same parcel (['AR', 'BR']); the first one was used.</t>
        </is>
      </c>
      <c r="E12" s="5" t="inlineStr">
        <is>
          <t>Product 1: metadata consistency per ParcelID</t>
        </is>
      </c>
    </row>
    <row r="13">
      <c r="A13" s="5" t="inlineStr">
        <is>
          <t>WARNING</t>
        </is>
      </c>
      <c r="B13" s="5" t="inlineStr">
        <is>
          <t>MSNS-009-NOAREA</t>
        </is>
      </c>
      <c r="C13" s="5" t="inlineStr">
        <is>
          <t>POINT_NO_AREA</t>
        </is>
      </c>
      <c r="D13" s="6" t="inlineStr">
        <is>
          <t>The parcel is a Point with no declared Area. The Information System will assume 4 ha by default, a silent risk if the real parcel is larger or smaller.</t>
        </is>
      </c>
      <c r="E13" s="5" t="inlineStr">
        <is>
          <t>EUDR GeoJSON File Description v1.5</t>
        </is>
      </c>
    </row>
    <row r="14">
      <c r="A14" s="5" t="inlineStr">
        <is>
          <t>WARNING</t>
        </is>
      </c>
      <c r="B14" s="5" t="inlineStr">
        <is>
          <t>MSNS-012-NOSPECIES</t>
        </is>
      </c>
      <c r="C14" s="5" t="inlineStr">
        <is>
          <t>SPECIES_MISSING</t>
        </is>
      </c>
      <c r="D14" s="6" t="inlineStr">
        <is>
          <t>Missing: CommonName, ScientificName. For wood, the due diligence statement requires the common name and full scientific name of the species.</t>
        </is>
      </c>
      <c r="E14" s="5" t="inlineStr">
        <is>
          <t>Implementing Regulation (EU) 2024/3084, Art. 4</t>
        </is>
      </c>
    </row>
    <row r="15">
      <c r="A15" s="5" t="inlineStr">
        <is>
          <t>INFO</t>
        </is>
      </c>
      <c r="B15" s="5" t="inlineStr">
        <is>
          <t>MSNS-002</t>
        </is>
      </c>
      <c r="C15" s="5" t="inlineStr">
        <is>
          <t>ING_AUTOCLOSE</t>
        </is>
      </c>
      <c r="D15" s="6" t="inlineStr">
        <is>
          <t>The polygon was closed automatically by repeating the first vertex at the end (the source file did not repeat it, which is common practice in spreadsheets).</t>
        </is>
      </c>
      <c r="E15" s="5" t="inlineStr">
        <is>
          <t>Product 1: tabular to GeoJSON conversion</t>
        </is>
      </c>
    </row>
    <row r="16">
      <c r="A16" s="5" t="inlineStr">
        <is>
          <t>INFO</t>
        </is>
      </c>
      <c r="B16" s="5" t="inlineStr">
        <is>
          <t>MSNS-005-INCONSISTENT</t>
        </is>
      </c>
      <c r="C16" s="5" t="inlineStr">
        <is>
          <t>ING_AUTOCLOSE</t>
        </is>
      </c>
      <c r="D16" s="6" t="inlineStr">
        <is>
          <t>The polygon was closed automatically by repeating the first vertex at the end (the source file did not repeat it, which is common practice in spreadsheets).</t>
        </is>
      </c>
      <c r="E16" s="5" t="inlineStr">
        <is>
          <t>Product 1: tabular to GeoJSON conversion</t>
        </is>
      </c>
    </row>
    <row r="17">
      <c r="A17" s="5" t="inlineStr">
        <is>
          <t>INFO</t>
        </is>
      </c>
      <c r="B17" s="5" t="inlineStr">
        <is>
          <t>MSNS-010-OVERLAP-A</t>
        </is>
      </c>
      <c r="C17" s="5" t="inlineStr">
        <is>
          <t>ING_AUTOCLOSE</t>
        </is>
      </c>
      <c r="D17" s="6" t="inlineStr">
        <is>
          <t>The polygon was closed automatically by repeating the first vertex at the end (the source file did not repeat it, which is common practice in spreadsheets).</t>
        </is>
      </c>
      <c r="E17" s="5" t="inlineStr">
        <is>
          <t>Product 1: tabular to GeoJSON conversion</t>
        </is>
      </c>
    </row>
    <row r="18">
      <c r="A18" s="5" t="inlineStr">
        <is>
          <t>INFO</t>
        </is>
      </c>
      <c r="B18" s="5" t="inlineStr">
        <is>
          <t>MSNS-010-OVERLAP-B</t>
        </is>
      </c>
      <c r="C18" s="5" t="inlineStr">
        <is>
          <t>ING_AUTOCLOSE</t>
        </is>
      </c>
      <c r="D18" s="6" t="inlineStr">
        <is>
          <t>The polygon was closed automatically by repeating the first vertex at the end (the source file did not repeat it, which is common practice in spreadsheets).</t>
        </is>
      </c>
      <c r="E18" s="5" t="inlineStr">
        <is>
          <t>Product 1: tabular to GeoJSON conversion</t>
        </is>
      </c>
    </row>
    <row r="19">
      <c r="A19" s="5" t="inlineStr">
        <is>
          <t>INFO</t>
        </is>
      </c>
      <c r="B19" s="5" t="inlineStr">
        <is>
          <t>MSNS-013-AREAMISMATCH</t>
        </is>
      </c>
      <c r="C19" s="5" t="inlineStr">
        <is>
          <t>ING_AUTOCLOSE</t>
        </is>
      </c>
      <c r="D19" s="6" t="inlineStr">
        <is>
          <t>The polygon was closed automatically by repeating the first vertex at the end (the source file did not repeat it, which is common practice in spreadsheets).</t>
        </is>
      </c>
      <c r="E19" s="5" t="inlineStr">
        <is>
          <t>Product 1: tabular to GeoJSON conversion</t>
        </is>
      </c>
    </row>
    <row r="20">
      <c r="A20" s="5" t="inlineStr">
        <is>
          <t>INFO</t>
        </is>
      </c>
      <c r="B20" s="5" t="inlineStr">
        <is>
          <t>MSNS-014-SELFINTERSECT</t>
        </is>
      </c>
      <c r="C20" s="5" t="inlineStr">
        <is>
          <t>ING_AUTOCLOSE</t>
        </is>
      </c>
      <c r="D20" s="6" t="inlineStr">
        <is>
          <t>The polygon was closed automatically by repeating the first vertex at the end (the source file did not repeat it, which is common practice in spreadsheets).</t>
        </is>
      </c>
      <c r="E20" s="5" t="inlineStr">
        <is>
          <t>Product 1: tabular to GeoJSON conversion</t>
        </is>
      </c>
    </row>
  </sheetData>
  <printOptions horizontalCentered="0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ParcelID</t>
        </is>
      </c>
      <c r="B1" s="4" t="inlineStr">
        <is>
          <t>Geometry type</t>
        </is>
      </c>
      <c r="C1" s="4" t="inlineStr">
        <is>
          <t>Computed area (ha)</t>
        </is>
      </c>
      <c r="D1" s="4" t="inlineStr">
        <is>
          <t>Declared area (ha)</t>
        </is>
      </c>
      <c r="E1" s="4" t="inlineStr">
        <is>
          <t>ProducerCountry</t>
        </is>
      </c>
      <c r="F1" s="4" t="inlineStr">
        <is>
          <t>Status</t>
        </is>
      </c>
    </row>
    <row r="2">
      <c r="A2" s="5" t="inlineStr">
        <is>
          <t>MSNS-001</t>
        </is>
      </c>
      <c r="B2" s="5" t="inlineStr">
        <is>
          <t>Point</t>
        </is>
      </c>
      <c r="C2" s="5" t="n">
        <v>0</v>
      </c>
      <c r="D2" s="5" t="n">
        <v>1.8</v>
      </c>
      <c r="E2" s="5" t="inlineStr">
        <is>
          <t>AR</t>
        </is>
      </c>
      <c r="F2" s="5">
        <f>IF(COUNTIFS(Findings!A:A,"ERROR",Findings!B:B,"*"&amp;A2&amp;"*")&gt;0,"Has error","Ready")</f>
        <v/>
      </c>
    </row>
    <row r="3">
      <c r="A3" s="5" t="inlineStr">
        <is>
          <t>MSNS-002</t>
        </is>
      </c>
      <c r="B3" s="5" t="inlineStr">
        <is>
          <t>Polygon</t>
        </is>
      </c>
      <c r="C3" s="5" t="n">
        <v>4.281</v>
      </c>
      <c r="D3" s="5" t="n">
        <v>4.3</v>
      </c>
      <c r="E3" s="5" t="inlineStr">
        <is>
          <t>AR</t>
        </is>
      </c>
      <c r="F3" s="5">
        <f>IF(COUNTIFS(Findings!A:A,"ERROR",Findings!B:B,"*"&amp;A3&amp;"*")&gt;0,"Has error","Ready")</f>
        <v/>
      </c>
    </row>
    <row r="4">
      <c r="A4" s="5" t="inlineStr">
        <is>
          <t>MSNS-005-INCONSISTENT</t>
        </is>
      </c>
      <c r="B4" s="5" t="inlineStr">
        <is>
          <t>Polygon</t>
        </is>
      </c>
      <c r="C4" s="5" t="n">
        <v>4.477</v>
      </c>
      <c r="D4" s="5" t="n">
        <v>4.5</v>
      </c>
      <c r="E4" s="5" t="inlineStr">
        <is>
          <t>AR</t>
        </is>
      </c>
      <c r="F4" s="5">
        <f>IF(COUNTIFS(Findings!A:A,"ERROR",Findings!B:B,"*"&amp;A4&amp;"*")&gt;0,"Has error","Ready")</f>
        <v/>
      </c>
    </row>
    <row r="5">
      <c r="A5" s="5" t="inlineStr">
        <is>
          <t>MSNS-006-LATLONSWAP</t>
        </is>
      </c>
      <c r="B5" s="5" t="inlineStr">
        <is>
          <t>Point</t>
        </is>
      </c>
      <c r="C5" s="5" t="n">
        <v>0</v>
      </c>
      <c r="D5" s="5" t="n">
        <v>2</v>
      </c>
      <c r="E5" s="5" t="inlineStr">
        <is>
          <t>AR</t>
        </is>
      </c>
      <c r="F5" s="5">
        <f>IF(COUNTIFS(Findings!A:A,"ERROR",Findings!B:B,"*"&amp;A5&amp;"*")&gt;0,"Has error","Ready")</f>
        <v/>
      </c>
    </row>
    <row r="6">
      <c r="A6" s="5" t="inlineStr">
        <is>
          <t>MSNS-007-PRECISION</t>
        </is>
      </c>
      <c r="B6" s="5" t="inlineStr">
        <is>
          <t>Point</t>
        </is>
      </c>
      <c r="C6" s="5" t="n">
        <v>0</v>
      </c>
      <c r="D6" s="5" t="n">
        <v>2</v>
      </c>
      <c r="E6" s="5" t="inlineStr">
        <is>
          <t>AR</t>
        </is>
      </c>
      <c r="F6" s="5">
        <f>IF(COUNTIFS(Findings!A:A,"ERROR",Findings!B:B,"*"&amp;A6&amp;"*")&gt;0,"Has error","Ready")</f>
        <v/>
      </c>
    </row>
    <row r="7">
      <c r="A7" s="5" t="inlineStr">
        <is>
          <t>MSNS-008-4HAVIOLATION</t>
        </is>
      </c>
      <c r="B7" s="5" t="inlineStr">
        <is>
          <t>Point</t>
        </is>
      </c>
      <c r="C7" s="5" t="n">
        <v>0</v>
      </c>
      <c r="D7" s="5" t="n">
        <v>8</v>
      </c>
      <c r="E7" s="5" t="inlineStr">
        <is>
          <t>AR</t>
        </is>
      </c>
      <c r="F7" s="5">
        <f>IF(COUNTIFS(Findings!A:A,"ERROR",Findings!B:B,"*"&amp;A7&amp;"*")&gt;0,"Has error","Ready")</f>
        <v/>
      </c>
    </row>
    <row r="8">
      <c r="A8" s="5" t="inlineStr">
        <is>
          <t>MSNS-009-NOAREA</t>
        </is>
      </c>
      <c r="B8" s="5" t="inlineStr">
        <is>
          <t>Point</t>
        </is>
      </c>
      <c r="C8" s="5" t="n">
        <v>0</v>
      </c>
      <c r="D8" s="5" t="n">
        <v/>
      </c>
      <c r="E8" s="5" t="inlineStr">
        <is>
          <t>AR</t>
        </is>
      </c>
      <c r="F8" s="5">
        <f>IF(COUNTIFS(Findings!A:A,"ERROR",Findings!B:B,"*"&amp;A8&amp;"*")&gt;0,"Has error","Ready")</f>
        <v/>
      </c>
    </row>
    <row r="9">
      <c r="A9" s="5" t="inlineStr">
        <is>
          <t>MSNS-010-OVERLAP-A</t>
        </is>
      </c>
      <c r="B9" s="5" t="inlineStr">
        <is>
          <t>Polygon</t>
        </is>
      </c>
      <c r="C9" s="5" t="n">
        <v>11.948</v>
      </c>
      <c r="D9" s="5" t="n">
        <v>12</v>
      </c>
      <c r="E9" s="5" t="inlineStr">
        <is>
          <t>AR</t>
        </is>
      </c>
      <c r="F9" s="5">
        <f>IF(COUNTIFS(Findings!A:A,"ERROR",Findings!B:B,"*"&amp;A9&amp;"*")&gt;0,"Has error","Ready")</f>
        <v/>
      </c>
    </row>
    <row r="10">
      <c r="A10" s="5" t="inlineStr">
        <is>
          <t>MSNS-010-OVERLAP-B</t>
        </is>
      </c>
      <c r="B10" s="5" t="inlineStr">
        <is>
          <t>Polygon</t>
        </is>
      </c>
      <c r="C10" s="5" t="n">
        <v>11.951</v>
      </c>
      <c r="D10" s="5" t="n">
        <v>12</v>
      </c>
      <c r="E10" s="5" t="inlineStr">
        <is>
          <t>AR</t>
        </is>
      </c>
      <c r="F10" s="5">
        <f>IF(COUNTIFS(Findings!A:A,"ERROR",Findings!B:B,"*"&amp;A10&amp;"*")&gt;0,"Has error","Ready")</f>
        <v/>
      </c>
    </row>
    <row r="11">
      <c r="A11" s="5" t="inlineStr">
        <is>
          <t>MSNS-011-INVALIDISO</t>
        </is>
      </c>
      <c r="B11" s="5" t="inlineStr">
        <is>
          <t>Point</t>
        </is>
      </c>
      <c r="C11" s="5" t="n">
        <v>0</v>
      </c>
      <c r="D11" s="5" t="n">
        <v>2</v>
      </c>
      <c r="E11" s="5" t="inlineStr">
        <is>
          <t>ZZ</t>
        </is>
      </c>
      <c r="F11" s="5">
        <f>IF(COUNTIFS(Findings!A:A,"ERROR",Findings!B:B,"*"&amp;A11&amp;"*")&gt;0,"Has error","Ready")</f>
        <v/>
      </c>
    </row>
    <row r="12">
      <c r="A12" s="5" t="inlineStr">
        <is>
          <t>MSNS-012-NOSPECIES</t>
        </is>
      </c>
      <c r="B12" s="5" t="inlineStr">
        <is>
          <t>Point</t>
        </is>
      </c>
      <c r="C12" s="5" t="n">
        <v>0</v>
      </c>
      <c r="D12" s="5" t="n">
        <v>2</v>
      </c>
      <c r="E12" s="5" t="inlineStr">
        <is>
          <t>AR</t>
        </is>
      </c>
      <c r="F12" s="5">
        <f>IF(COUNTIFS(Findings!A:A,"ERROR",Findings!B:B,"*"&amp;A12&amp;"*")&gt;0,"Has error","Ready")</f>
        <v/>
      </c>
    </row>
    <row r="13">
      <c r="A13" s="5" t="inlineStr">
        <is>
          <t>MSNS-013-AREAMISMATCH</t>
        </is>
      </c>
      <c r="B13" s="5" t="inlineStr">
        <is>
          <t>Polygon</t>
        </is>
      </c>
      <c r="C13" s="5" t="n">
        <v>14.94</v>
      </c>
      <c r="D13" s="5" t="n">
        <v>1.5</v>
      </c>
      <c r="E13" s="5" t="inlineStr">
        <is>
          <t>AR</t>
        </is>
      </c>
      <c r="F13" s="5">
        <f>IF(COUNTIFS(Findings!A:A,"ERROR",Findings!B:B,"*"&amp;A13&amp;"*")&gt;0,"Has error","Ready")</f>
        <v/>
      </c>
    </row>
    <row r="14">
      <c r="A14" s="5" t="inlineStr">
        <is>
          <t>MSNS-003-MISSINGLATLON</t>
        </is>
      </c>
      <c r="B14" s="5" t="inlineStr">
        <is>
          <t>(no valid geometry)</t>
        </is>
      </c>
      <c r="C14" s="5" t="n"/>
      <c r="D14" s="5" t="n"/>
      <c r="E14" s="5" t="n"/>
      <c r="F14" s="5">
        <f>IF(COUNTIFS(Findings!A:A,"ERROR",Findings!B:B,"*"&amp;A14&amp;"*")&gt;0,"Has error","Ready")</f>
        <v/>
      </c>
    </row>
    <row r="15">
      <c r="A15" s="5" t="inlineStr">
        <is>
          <t>MSNS-004-TWOVERTICES</t>
        </is>
      </c>
      <c r="B15" s="5" t="inlineStr">
        <is>
          <t>(no valid geometry)</t>
        </is>
      </c>
      <c r="C15" s="5" t="n"/>
      <c r="D15" s="5" t="n"/>
      <c r="E15" s="5" t="n"/>
      <c r="F15" s="5">
        <f>IF(COUNTIFS(Findings!A:A,"ERROR",Findings!B:B,"*"&amp;A15&amp;"*")&gt;0,"Has error","Ready")</f>
        <v/>
      </c>
    </row>
    <row r="16">
      <c r="A16" s="5" t="inlineStr">
        <is>
          <t>MSNS-014-SELFINTERSECT</t>
        </is>
      </c>
      <c r="B16" s="5" t="inlineStr">
        <is>
          <t>(no valid geometry)</t>
        </is>
      </c>
      <c r="C16" s="5" t="n"/>
      <c r="D16" s="5" t="n"/>
      <c r="E16" s="5" t="n"/>
      <c r="F16" s="5">
        <f>IF(COUNTIFS(Findings!A:A,"ERROR",Findings!B:B,"*"&amp;A16&amp;"*")&gt;0,"Has error","Ready")</f>
        <v/>
      </c>
    </row>
  </sheetData>
  <printOptions horizontalCentered="0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2026-10-22T09:14:36Z</dcterms:created>
  <dcterms:modified xmlns:dcterms="http://purl.org/dc/terms/" xmlns:xsi="http://www.w3.org/2001/XMLSchema-instance" xsi:type="dcterms:W3CDTF">2026-10-22T09:14:36Z</dcterms:modified>
</cp:coreProperties>
</file>