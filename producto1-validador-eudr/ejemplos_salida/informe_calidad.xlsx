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Hallazgos" sheetId="2" state="visible" r:id="rId2"/>
    <sheet xmlns:r="http://schemas.openxmlformats.org/officeDocument/2006/relationships" name="Parcel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233"/>
        <bgColor rgb="002F52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Informe de calidad — Validador de geometrías de proveedores (EUDR)</t>
        </is>
      </c>
    </row>
    <row r="2">
      <c r="A2" s="2" t="inlineStr">
        <is>
          <t>Archivo de entrada</t>
        </is>
      </c>
      <c r="B2" s="3" t="inlineStr">
        <is>
          <t>synthetic_planilla_proveedores.xlsx</t>
        </is>
      </c>
    </row>
    <row r="3">
      <c r="A3" s="2" t="inlineStr">
        <is>
          <t>Fecha de generación</t>
        </is>
      </c>
      <c r="B3" s="3" t="inlineStr">
        <is>
          <t>2026-09-10 16:40</t>
        </is>
      </c>
    </row>
    <row r="4">
      <c r="A4" s="2" t="inlineStr">
        <is>
          <t>Commodity</t>
        </is>
      </c>
      <c r="B4" s="3" t="inlineStr">
        <is>
          <t>Madera (Cono Sur)</t>
        </is>
      </c>
    </row>
    <row r="5">
      <c r="A5" s="2" t="inlineStr">
        <is>
          <t>Formato de referencia</t>
        </is>
      </c>
      <c r="B5" s="3" t="inlineStr">
        <is>
          <t>EUDR GeoJSON File Description v1.5 (Reglamento 2024/3084)</t>
        </is>
      </c>
    </row>
    <row r="7">
      <c r="A7" s="4" t="inlineStr">
        <is>
          <t>Métrica</t>
        </is>
      </c>
      <c r="B7" s="4" t="inlineStr">
        <is>
          <t>Valor</t>
        </is>
      </c>
    </row>
    <row r="8">
      <c r="A8" s="3" t="inlineStr">
        <is>
          <t>Parcelas evaluadas</t>
        </is>
      </c>
      <c r="B8" s="2">
        <f>COUNTA(Parcelas!A2:A16)</f>
        <v/>
      </c>
    </row>
    <row r="9">
      <c r="A9" s="3" t="inlineStr">
        <is>
          <t>Parcelas aptas para presentar tal cual</t>
        </is>
      </c>
      <c r="B9" s="2">
        <f>COUNTIF(Parcelas!F2:F16,"Apto")</f>
        <v/>
      </c>
    </row>
    <row r="10">
      <c r="A10" s="3" t="inlineStr">
        <is>
          <t>Parcelas con error bloqueante</t>
        </is>
      </c>
      <c r="B10" s="2">
        <f>COUNTIF(Parcelas!F2:F16,"Con error")</f>
        <v/>
      </c>
    </row>
    <row r="11">
      <c r="A11" s="3" t="inlineStr">
        <is>
          <t>Errores bloqueantes (total)</t>
        </is>
      </c>
      <c r="B11" s="2">
        <f>COUNTIF(Hallazgos!A2:A20,"ERROR")</f>
        <v/>
      </c>
    </row>
    <row r="12">
      <c r="A12" s="3" t="inlineStr">
        <is>
          <t>Advertencias (no bloqueantes)</t>
        </is>
      </c>
      <c r="B12" s="2">
        <f>COUNTIF(Hallazgos!A2:A20,"WARNING")</f>
        <v/>
      </c>
    </row>
    <row r="13">
      <c r="A13" s="3" t="inlineStr">
        <is>
          <t>Notas de conversión</t>
        </is>
      </c>
      <c r="B13" s="2">
        <f>COUNTIF(Hallazgos!A2:A20,"INFO")</f>
        <v/>
      </c>
    </row>
    <row r="15">
      <c r="A15" t="inlineStr">
        <is>
          <t>Qué significa "apto": la parcela no tiene ningún hallazgo de severidad Error bloqueante. El GeoJSON de salida incluye únicamente las parcelas aptas.</t>
        </is>
      </c>
    </row>
  </sheetData>
  <printOptions horizontalCentered="0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70" customWidth="1" min="4" max="4"/>
    <col width="55" customWidth="1" min="5" max="5"/>
  </cols>
  <sheetData>
    <row r="1">
      <c r="A1" s="4" t="inlineStr">
        <is>
          <t>Severidad</t>
        </is>
      </c>
      <c r="B1" s="4" t="inlineStr">
        <is>
          <t>ParcelID</t>
        </is>
      </c>
      <c r="C1" s="4" t="inlineStr">
        <is>
          <t>Codigo</t>
        </is>
      </c>
      <c r="D1" s="4" t="inlineStr">
        <is>
          <t>Mensaje</t>
        </is>
      </c>
      <c r="E1" s="4" t="inlineStr">
        <is>
          <t>Referencia normativa</t>
        </is>
      </c>
    </row>
    <row r="2">
      <c r="A2" s="5" t="inlineStr">
        <is>
          <t>ERROR</t>
        </is>
      </c>
      <c r="B2" s="5" t="inlineStr">
        <is>
          <t>MSNS-011-INVALIDISO</t>
        </is>
      </c>
      <c r="C2" s="5" t="inlineStr">
        <is>
          <t>COUNTRY_INVALID_ISO</t>
        </is>
      </c>
      <c r="D2" s="6" t="inlineStr">
        <is>
          <t>'ZZ' no es un código ISO 3166-1 alpha-2 válido.</t>
        </is>
      </c>
      <c r="E2" s="5" t="inlineStr">
        <is>
          <t>EUDR GeoJSON File Description v1.5</t>
        </is>
      </c>
    </row>
    <row r="3">
      <c r="A3" s="5" t="inlineStr">
        <is>
          <t>ERROR</t>
        </is>
      </c>
      <c r="B3" s="5" t="inlineStr">
        <is>
          <t>MSNS-006-LATLONSWAP</t>
        </is>
      </c>
      <c r="C3" s="5" t="inlineStr">
        <is>
          <t>COUNTRY_MISMATCH</t>
        </is>
      </c>
      <c r="D3" s="6" t="inlineStr">
        <is>
          <t>ProducerCountry='AR' no coincide con la ubicación real de la geometría (el centroide de la parcela cae fuera del país declarado, incluso con margen de tolerancia).</t>
        </is>
      </c>
      <c r="E3" s="5" t="inlineStr">
        <is>
          <t>EUDR GeoJSON File Description v1.5</t>
        </is>
      </c>
    </row>
    <row r="4">
      <c r="A4" s="5" t="inlineStr">
        <is>
          <t>ERROR</t>
        </is>
      </c>
      <c r="B4" s="5" t="inlineStr">
        <is>
          <t>MSNS-014-SELFINTERSECT</t>
        </is>
      </c>
      <c r="C4" s="5" t="inlineStr">
        <is>
          <t>GEOM_SELF_INTERSECTION</t>
        </is>
      </c>
      <c r="D4" s="6" t="inlineStr">
        <is>
          <t>La secuencia de vértices produce una geometría inválida (auto-intersectada, tipo 'ocho'). Revisar el orden de los vértices.</t>
        </is>
      </c>
      <c r="E4" s="5" t="inlineStr">
        <is>
          <t>EUDR GeoJSON File Description v1.5</t>
        </is>
      </c>
    </row>
    <row r="5">
      <c r="A5" s="5" t="inlineStr">
        <is>
          <t>ERROR</t>
        </is>
      </c>
      <c r="B5" s="5" t="inlineStr">
        <is>
          <t>MSNS-003-MISSINGLATLON</t>
        </is>
      </c>
      <c r="C5" s="5" t="inlineStr">
        <is>
          <t>ING_MISSING_LATLON</t>
        </is>
      </c>
      <c r="D5" s="6" t="inlineStr">
        <is>
          <t>Falta Latitude o Longitude.</t>
        </is>
      </c>
      <c r="E5" s="5" t="inlineStr">
        <is>
          <t>Producto 1 — esquema de entrada tabular</t>
        </is>
      </c>
    </row>
    <row r="6">
      <c r="A6" s="5" t="inlineStr">
        <is>
          <t>ERROR</t>
        </is>
      </c>
      <c r="B6" s="5" t="inlineStr">
        <is>
          <t>MSNS-004-TWOVERTICES</t>
        </is>
      </c>
      <c r="C6" s="5" t="inlineStr">
        <is>
          <t>ING_TWO_VERTICES</t>
        </is>
      </c>
      <c r="D6" s="6" t="inlineStr">
        <is>
          <t>La parcela tiene exactamente 2 filas de vértices: no alcanza para un polígono (mínimo 3 vértices distintos) y no es un único punto. Revisar si falta un vértice o si se declaró de más.</t>
        </is>
      </c>
      <c r="E6" s="5" t="inlineStr">
        <is>
          <t>Producto 1 — esquema de entrada tabular</t>
        </is>
      </c>
    </row>
    <row r="7">
      <c r="A7" s="5" t="inlineStr">
        <is>
          <t>ERROR</t>
        </is>
      </c>
      <c r="B7" s="5" t="inlineStr">
        <is>
          <t>MSNS-010-OVERLAP-A / MSNS-010-OVERLAP-B</t>
        </is>
      </c>
      <c r="C7" s="5" t="inlineStr">
        <is>
          <t>PARCELS_OVERLAP</t>
        </is>
      </c>
      <c r="D7" s="6" t="inlineStr">
        <is>
          <t>La parcela 'MSNS-010-OVERLAP-A' se superpone con 'MSNS-010-OVERLAP-B' en 7.170 ha.</t>
        </is>
      </c>
      <c r="E7" s="5" t="inlineStr">
        <is>
          <t>EUDR GeoJSON File Description v1.5</t>
        </is>
      </c>
    </row>
    <row r="8">
      <c r="A8" s="5" t="inlineStr">
        <is>
          <t>ERROR</t>
        </is>
      </c>
      <c r="B8" s="5" t="inlineStr">
        <is>
          <t>MSNS-008-4HAVIOLATION</t>
        </is>
      </c>
      <c r="C8" s="5" t="inlineStr">
        <is>
          <t>RULE_4HA_VIOLATION</t>
        </is>
      </c>
      <c r="D8" s="6" t="inlineStr">
        <is>
          <t>Area declarada = 8.0 ha (&gt; 4 ha) pero la geometría es un Point. Parcelas de más de 4 ha deben declararse como polígono, con vértices suficientes para describir el perímetro.</t>
        </is>
      </c>
      <c r="E8" s="5" t="inlineStr">
        <is>
          <t>Reglamento (UE) 2023/1115, Art. 9</t>
        </is>
      </c>
    </row>
    <row r="9">
      <c r="A9" s="5" t="inlineStr">
        <is>
          <t>WARNING</t>
        </is>
      </c>
      <c r="B9" s="5" t="inlineStr">
        <is>
          <t>MSNS-013-AREAMISMATCH</t>
        </is>
      </c>
      <c r="C9" s="5" t="inlineStr">
        <is>
          <t>AREA_MISMATCH</t>
        </is>
      </c>
      <c r="D9" s="6" t="inlineStr">
        <is>
          <t>El área calculada de la geometría (14.94 ha) supera 4 ha pero el Area declarada (1.5 ha) no. Revisar cuál de los dos valores es correcto.</t>
        </is>
      </c>
      <c r="E9" s="5" t="inlineStr">
        <is>
          <t>EUDR GeoJSON File Description v1.5</t>
        </is>
      </c>
    </row>
    <row r="10">
      <c r="A10" s="5" t="inlineStr">
        <is>
          <t>WARNING</t>
        </is>
      </c>
      <c r="B10" s="5" t="inlineStr">
        <is>
          <t>MSNS-007-PRECISION</t>
        </is>
      </c>
      <c r="C10" s="5" t="inlineStr">
        <is>
          <t>COORD_PRECISION</t>
        </is>
      </c>
      <c r="D10" s="6" t="inlineStr">
        <is>
          <t>La longitud tiene 14 decimales (máximo recomendado: 6). Más de 6 decimales puede generar coordenadas duplicadas por redondeo al procesarse en el sistema.</t>
        </is>
      </c>
      <c r="E10" s="5" t="inlineStr">
        <is>
          <t>EUDR GeoJSON File Description v1.5</t>
        </is>
      </c>
    </row>
    <row r="11">
      <c r="A11" s="5" t="inlineStr">
        <is>
          <t>WARNING</t>
        </is>
      </c>
      <c r="B11" s="5" t="inlineStr">
        <is>
          <t>MSNS-007-PRECISION</t>
        </is>
      </c>
      <c r="C11" s="5" t="inlineStr">
        <is>
          <t>COORD_PRECISION</t>
        </is>
      </c>
      <c r="D11" s="6" t="inlineStr">
        <is>
          <t>La latitud tiene 14 decimales (máximo recomendado: 6). Más de 6 decimales puede generar coordenadas duplicadas por redondeo al procesarse en el sistema.</t>
        </is>
      </c>
      <c r="E11" s="5" t="inlineStr">
        <is>
          <t>EUDR GeoJSON File Description v1.5</t>
        </is>
      </c>
    </row>
    <row r="12">
      <c r="A12" s="5" t="inlineStr">
        <is>
          <t>WARNING</t>
        </is>
      </c>
      <c r="B12" s="5" t="inlineStr">
        <is>
          <t>MSNS-005-INCONSISTENT</t>
        </is>
      </c>
      <c r="C12" s="5" t="inlineStr">
        <is>
          <t>ING_METADATA_INCONSISTENT</t>
        </is>
      </c>
      <c r="D12" s="6" t="inlineStr">
        <is>
          <t>La propiedad 'ProducerCountry' tiene valores distintos entre filas de la misma parcela (['AR', 'BR']); se usó el primero.</t>
        </is>
      </c>
      <c r="E12" s="5" t="inlineStr">
        <is>
          <t>Producto 1 — consistencia de metadatos por ParcelID</t>
        </is>
      </c>
    </row>
    <row r="13">
      <c r="A13" s="5" t="inlineStr">
        <is>
          <t>WARNING</t>
        </is>
      </c>
      <c r="B13" s="5" t="inlineStr">
        <is>
          <t>MSNS-009-NOAREA</t>
        </is>
      </c>
      <c r="C13" s="5" t="inlineStr">
        <is>
          <t>POINT_NO_AREA</t>
        </is>
      </c>
      <c r="D13" s="6" t="inlineStr">
        <is>
          <t>La parcela es un Point sin Area declarada. El Information System asumirá 4 ha por defecto — riesgo silencioso si la parcela real es más grande o más chica.</t>
        </is>
      </c>
      <c r="E13" s="5" t="inlineStr">
        <is>
          <t>EUDR GeoJSON File Description v1.5</t>
        </is>
      </c>
    </row>
    <row r="14">
      <c r="A14" s="5" t="inlineStr">
        <is>
          <t>WARNING</t>
        </is>
      </c>
      <c r="B14" s="5" t="inlineStr">
        <is>
          <t>MSNS-012-NOSPECIES</t>
        </is>
      </c>
      <c r="C14" s="5" t="inlineStr">
        <is>
          <t>SPECIES_MISSING</t>
        </is>
      </c>
      <c r="D14" s="6" t="inlineStr">
        <is>
          <t>Falta(n) CommonName, ScientificName. Para madera, la DDS exige nombre común y nombre científico completo de la especie.</t>
        </is>
      </c>
      <c r="E14" s="5" t="inlineStr">
        <is>
          <t>Reglamento de Ejecución (UE) 2024/3084, Art. 4</t>
        </is>
      </c>
    </row>
    <row r="15">
      <c r="A15" s="5" t="inlineStr">
        <is>
          <t>INFO</t>
        </is>
      </c>
      <c r="B15" s="5" t="inlineStr">
        <is>
          <t>MSNS-002</t>
        </is>
      </c>
      <c r="C15" s="5" t="inlineStr">
        <is>
          <t>ING_AUTOCLOSE</t>
        </is>
      </c>
      <c r="D15" s="6" t="inlineStr">
        <is>
          <t>El polígono se cerró automáticamente repitiendo el primer vértice al final (el archivo de origen no lo traía repetido, práctica habitual en planillas).</t>
        </is>
      </c>
      <c r="E15" s="5" t="inlineStr">
        <is>
          <t>Producto 1 — conversión tabular → GeoJSON</t>
        </is>
      </c>
    </row>
    <row r="16">
      <c r="A16" s="5" t="inlineStr">
        <is>
          <t>INFO</t>
        </is>
      </c>
      <c r="B16" s="5" t="inlineStr">
        <is>
          <t>MSNS-005-INCONSISTENT</t>
        </is>
      </c>
      <c r="C16" s="5" t="inlineStr">
        <is>
          <t>ING_AUTOCLOSE</t>
        </is>
      </c>
      <c r="D16" s="6" t="inlineStr">
        <is>
          <t>El polígono se cerró automáticamente repitiendo el primer vértice al final (el archivo de origen no lo traía repetido, práctica habitual en planillas).</t>
        </is>
      </c>
      <c r="E16" s="5" t="inlineStr">
        <is>
          <t>Producto 1 — conversión tabular → GeoJSON</t>
        </is>
      </c>
    </row>
    <row r="17">
      <c r="A17" s="5" t="inlineStr">
        <is>
          <t>INFO</t>
        </is>
      </c>
      <c r="B17" s="5" t="inlineStr">
        <is>
          <t>MSNS-010-OVERLAP-A</t>
        </is>
      </c>
      <c r="C17" s="5" t="inlineStr">
        <is>
          <t>ING_AUTOCLOSE</t>
        </is>
      </c>
      <c r="D17" s="6" t="inlineStr">
        <is>
          <t>El polígono se cerró automáticamente repitiendo el primer vértice al final (el archivo de origen no lo traía repetido, práctica habitual en planillas).</t>
        </is>
      </c>
      <c r="E17" s="5" t="inlineStr">
        <is>
          <t>Producto 1 — conversión tabular → GeoJSON</t>
        </is>
      </c>
    </row>
    <row r="18">
      <c r="A18" s="5" t="inlineStr">
        <is>
          <t>INFO</t>
        </is>
      </c>
      <c r="B18" s="5" t="inlineStr">
        <is>
          <t>MSNS-010-OVERLAP-B</t>
        </is>
      </c>
      <c r="C18" s="5" t="inlineStr">
        <is>
          <t>ING_AUTOCLOSE</t>
        </is>
      </c>
      <c r="D18" s="6" t="inlineStr">
        <is>
          <t>El polígono se cerró automáticamente repitiendo el primer vértice al final (el archivo de origen no lo traía repetido, práctica habitual en planillas).</t>
        </is>
      </c>
      <c r="E18" s="5" t="inlineStr">
        <is>
          <t>Producto 1 — conversión tabular → GeoJSON</t>
        </is>
      </c>
    </row>
    <row r="19">
      <c r="A19" s="5" t="inlineStr">
        <is>
          <t>INFO</t>
        </is>
      </c>
      <c r="B19" s="5" t="inlineStr">
        <is>
          <t>MSNS-013-AREAMISMATCH</t>
        </is>
      </c>
      <c r="C19" s="5" t="inlineStr">
        <is>
          <t>ING_AUTOCLOSE</t>
        </is>
      </c>
      <c r="D19" s="6" t="inlineStr">
        <is>
          <t>El polígono se cerró automáticamente repitiendo el primer vértice al final (el archivo de origen no lo traía repetido, práctica habitual en planillas).</t>
        </is>
      </c>
      <c r="E19" s="5" t="inlineStr">
        <is>
          <t>Producto 1 — conversión tabular → GeoJSON</t>
        </is>
      </c>
    </row>
    <row r="20">
      <c r="A20" s="5" t="inlineStr">
        <is>
          <t>INFO</t>
        </is>
      </c>
      <c r="B20" s="5" t="inlineStr">
        <is>
          <t>MSNS-014-SELFINTERSECT</t>
        </is>
      </c>
      <c r="C20" s="5" t="inlineStr">
        <is>
          <t>ING_AUTOCLOSE</t>
        </is>
      </c>
      <c r="D20" s="6" t="inlineStr">
        <is>
          <t>El polígono se cerró automáticamente repitiendo el primer vértice al final (el archivo de origen no lo traía repetido, práctica habitual en planillas).</t>
        </is>
      </c>
      <c r="E20" s="5" t="inlineStr">
        <is>
          <t>Producto 1 — conversión tabular → GeoJSON</t>
        </is>
      </c>
    </row>
  </sheetData>
  <printOptions horizontalCentered="0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ParcelID</t>
        </is>
      </c>
      <c r="B1" s="4" t="inlineStr">
        <is>
          <t>Tipo de geometria</t>
        </is>
      </c>
      <c r="C1" s="4" t="inlineStr">
        <is>
          <t>Area calculada (ha)</t>
        </is>
      </c>
      <c r="D1" s="4" t="inlineStr">
        <is>
          <t>Area declarada (ha)</t>
        </is>
      </c>
      <c r="E1" s="4" t="inlineStr">
        <is>
          <t>ProducerCountry</t>
        </is>
      </c>
      <c r="F1" s="4" t="inlineStr">
        <is>
          <t>Estado</t>
        </is>
      </c>
    </row>
    <row r="2">
      <c r="A2" s="5" t="inlineStr">
        <is>
          <t>MSNS-001</t>
        </is>
      </c>
      <c r="B2" s="5" t="inlineStr">
        <is>
          <t>Point</t>
        </is>
      </c>
      <c r="C2" s="5" t="n">
        <v>0</v>
      </c>
      <c r="D2" s="5" t="n">
        <v>1.8</v>
      </c>
      <c r="E2" s="5" t="inlineStr">
        <is>
          <t>AR</t>
        </is>
      </c>
      <c r="F2" s="5">
        <f>IF(COUNTIFS(Hallazgos!A:A,"ERROR",Hallazgos!B:B,"*"&amp;A2&amp;"*")&gt;0,"Con error","Apto")</f>
        <v/>
      </c>
    </row>
    <row r="3">
      <c r="A3" s="5" t="inlineStr">
        <is>
          <t>MSNS-002</t>
        </is>
      </c>
      <c r="B3" s="5" t="inlineStr">
        <is>
          <t>Polygon</t>
        </is>
      </c>
      <c r="C3" s="5" t="n">
        <v>4.281</v>
      </c>
      <c r="D3" s="5" t="n">
        <v>4.3</v>
      </c>
      <c r="E3" s="5" t="inlineStr">
        <is>
          <t>AR</t>
        </is>
      </c>
      <c r="F3" s="5">
        <f>IF(COUNTIFS(Hallazgos!A:A,"ERROR",Hallazgos!B:B,"*"&amp;A3&amp;"*")&gt;0,"Con error","Apto")</f>
        <v/>
      </c>
    </row>
    <row r="4">
      <c r="A4" s="5" t="inlineStr">
        <is>
          <t>MSNS-005-INCONSISTENT</t>
        </is>
      </c>
      <c r="B4" s="5" t="inlineStr">
        <is>
          <t>Polygon</t>
        </is>
      </c>
      <c r="C4" s="5" t="n">
        <v>4.477</v>
      </c>
      <c r="D4" s="5" t="n">
        <v>4.5</v>
      </c>
      <c r="E4" s="5" t="inlineStr">
        <is>
          <t>AR</t>
        </is>
      </c>
      <c r="F4" s="5">
        <f>IF(COUNTIFS(Hallazgos!A:A,"ERROR",Hallazgos!B:B,"*"&amp;A4&amp;"*")&gt;0,"Con error","Apto")</f>
        <v/>
      </c>
    </row>
    <row r="5">
      <c r="A5" s="5" t="inlineStr">
        <is>
          <t>MSNS-006-LATLONSWAP</t>
        </is>
      </c>
      <c r="B5" s="5" t="inlineStr">
        <is>
          <t>Point</t>
        </is>
      </c>
      <c r="C5" s="5" t="n">
        <v>0</v>
      </c>
      <c r="D5" s="5" t="n">
        <v>2</v>
      </c>
      <c r="E5" s="5" t="inlineStr">
        <is>
          <t>AR</t>
        </is>
      </c>
      <c r="F5" s="5">
        <f>IF(COUNTIFS(Hallazgos!A:A,"ERROR",Hallazgos!B:B,"*"&amp;A5&amp;"*")&gt;0,"Con error","Apto")</f>
        <v/>
      </c>
    </row>
    <row r="6">
      <c r="A6" s="5" t="inlineStr">
        <is>
          <t>MSNS-007-PRECISION</t>
        </is>
      </c>
      <c r="B6" s="5" t="inlineStr">
        <is>
          <t>Point</t>
        </is>
      </c>
      <c r="C6" s="5" t="n">
        <v>0</v>
      </c>
      <c r="D6" s="5" t="n">
        <v>2</v>
      </c>
      <c r="E6" s="5" t="inlineStr">
        <is>
          <t>AR</t>
        </is>
      </c>
      <c r="F6" s="5">
        <f>IF(COUNTIFS(Hallazgos!A:A,"ERROR",Hallazgos!B:B,"*"&amp;A6&amp;"*")&gt;0,"Con error","Apto")</f>
        <v/>
      </c>
    </row>
    <row r="7">
      <c r="A7" s="5" t="inlineStr">
        <is>
          <t>MSNS-008-4HAVIOLATION</t>
        </is>
      </c>
      <c r="B7" s="5" t="inlineStr">
        <is>
          <t>Point</t>
        </is>
      </c>
      <c r="C7" s="5" t="n">
        <v>0</v>
      </c>
      <c r="D7" s="5" t="n">
        <v>8</v>
      </c>
      <c r="E7" s="5" t="inlineStr">
        <is>
          <t>AR</t>
        </is>
      </c>
      <c r="F7" s="5">
        <f>IF(COUNTIFS(Hallazgos!A:A,"ERROR",Hallazgos!B:B,"*"&amp;A7&amp;"*")&gt;0,"Con error","Apto")</f>
        <v/>
      </c>
    </row>
    <row r="8">
      <c r="A8" s="5" t="inlineStr">
        <is>
          <t>MSNS-009-NOAREA</t>
        </is>
      </c>
      <c r="B8" s="5" t="inlineStr">
        <is>
          <t>Point</t>
        </is>
      </c>
      <c r="C8" s="5" t="n">
        <v>0</v>
      </c>
      <c r="D8" s="5" t="n">
        <v/>
      </c>
      <c r="E8" s="5" t="inlineStr">
        <is>
          <t>AR</t>
        </is>
      </c>
      <c r="F8" s="5">
        <f>IF(COUNTIFS(Hallazgos!A:A,"ERROR",Hallazgos!B:B,"*"&amp;A8&amp;"*")&gt;0,"Con error","Apto")</f>
        <v/>
      </c>
    </row>
    <row r="9">
      <c r="A9" s="5" t="inlineStr">
        <is>
          <t>MSNS-010-OVERLAP-A</t>
        </is>
      </c>
      <c r="B9" s="5" t="inlineStr">
        <is>
          <t>Polygon</t>
        </is>
      </c>
      <c r="C9" s="5" t="n">
        <v>11.948</v>
      </c>
      <c r="D9" s="5" t="n">
        <v>12</v>
      </c>
      <c r="E9" s="5" t="inlineStr">
        <is>
          <t>AR</t>
        </is>
      </c>
      <c r="F9" s="5">
        <f>IF(COUNTIFS(Hallazgos!A:A,"ERROR",Hallazgos!B:B,"*"&amp;A9&amp;"*")&gt;0,"Con error","Apto")</f>
        <v/>
      </c>
    </row>
    <row r="10">
      <c r="A10" s="5" t="inlineStr">
        <is>
          <t>MSNS-010-OVERLAP-B</t>
        </is>
      </c>
      <c r="B10" s="5" t="inlineStr">
        <is>
          <t>Polygon</t>
        </is>
      </c>
      <c r="C10" s="5" t="n">
        <v>11.951</v>
      </c>
      <c r="D10" s="5" t="n">
        <v>12</v>
      </c>
      <c r="E10" s="5" t="inlineStr">
        <is>
          <t>AR</t>
        </is>
      </c>
      <c r="F10" s="5">
        <f>IF(COUNTIFS(Hallazgos!A:A,"ERROR",Hallazgos!B:B,"*"&amp;A10&amp;"*")&gt;0,"Con error","Apto")</f>
        <v/>
      </c>
    </row>
    <row r="11">
      <c r="A11" s="5" t="inlineStr">
        <is>
          <t>MSNS-011-INVALIDISO</t>
        </is>
      </c>
      <c r="B11" s="5" t="inlineStr">
        <is>
          <t>Point</t>
        </is>
      </c>
      <c r="C11" s="5" t="n">
        <v>0</v>
      </c>
      <c r="D11" s="5" t="n">
        <v>2</v>
      </c>
      <c r="E11" s="5" t="inlineStr">
        <is>
          <t>ZZ</t>
        </is>
      </c>
      <c r="F11" s="5">
        <f>IF(COUNTIFS(Hallazgos!A:A,"ERROR",Hallazgos!B:B,"*"&amp;A11&amp;"*")&gt;0,"Con error","Apto")</f>
        <v/>
      </c>
    </row>
    <row r="12">
      <c r="A12" s="5" t="inlineStr">
        <is>
          <t>MSNS-012-NOSPECIES</t>
        </is>
      </c>
      <c r="B12" s="5" t="inlineStr">
        <is>
          <t>Point</t>
        </is>
      </c>
      <c r="C12" s="5" t="n">
        <v>0</v>
      </c>
      <c r="D12" s="5" t="n">
        <v>2</v>
      </c>
      <c r="E12" s="5" t="inlineStr">
        <is>
          <t>AR</t>
        </is>
      </c>
      <c r="F12" s="5">
        <f>IF(COUNTIFS(Hallazgos!A:A,"ERROR",Hallazgos!B:B,"*"&amp;A12&amp;"*")&gt;0,"Con error","Apto")</f>
        <v/>
      </c>
    </row>
    <row r="13">
      <c r="A13" s="5" t="inlineStr">
        <is>
          <t>MSNS-013-AREAMISMATCH</t>
        </is>
      </c>
      <c r="B13" s="5" t="inlineStr">
        <is>
          <t>Polygon</t>
        </is>
      </c>
      <c r="C13" s="5" t="n">
        <v>14.94</v>
      </c>
      <c r="D13" s="5" t="n">
        <v>1.5</v>
      </c>
      <c r="E13" s="5" t="inlineStr">
        <is>
          <t>AR</t>
        </is>
      </c>
      <c r="F13" s="5">
        <f>IF(COUNTIFS(Hallazgos!A:A,"ERROR",Hallazgos!B:B,"*"&amp;A13&amp;"*")&gt;0,"Con error","Apto")</f>
        <v/>
      </c>
    </row>
    <row r="14">
      <c r="A14" s="5" t="inlineStr">
        <is>
          <t>MSNS-003-MISSINGLATLON</t>
        </is>
      </c>
      <c r="B14" s="5" t="inlineStr">
        <is>
          <t>(sin geometría válida)</t>
        </is>
      </c>
      <c r="C14" s="5" t="n"/>
      <c r="D14" s="5" t="n"/>
      <c r="E14" s="5" t="n"/>
      <c r="F14" s="5">
        <f>IF(COUNTIFS(Hallazgos!A:A,"ERROR",Hallazgos!B:B,"*"&amp;A14&amp;"*")&gt;0,"Con error","Apto")</f>
        <v/>
      </c>
    </row>
    <row r="15">
      <c r="A15" s="5" t="inlineStr">
        <is>
          <t>MSNS-004-TWOVERTICES</t>
        </is>
      </c>
      <c r="B15" s="5" t="inlineStr">
        <is>
          <t>(sin geometría válida)</t>
        </is>
      </c>
      <c r="C15" s="5" t="n"/>
      <c r="D15" s="5" t="n"/>
      <c r="E15" s="5" t="n"/>
      <c r="F15" s="5">
        <f>IF(COUNTIFS(Hallazgos!A:A,"ERROR",Hallazgos!B:B,"*"&amp;A15&amp;"*")&gt;0,"Con error","Apto")</f>
        <v/>
      </c>
    </row>
    <row r="16">
      <c r="A16" s="5" t="inlineStr">
        <is>
          <t>MSNS-014-SELFINTERSECT</t>
        </is>
      </c>
      <c r="B16" s="5" t="inlineStr">
        <is>
          <t>(sin geometría válida)</t>
        </is>
      </c>
      <c r="C16" s="5" t="n"/>
      <c r="D16" s="5" t="n"/>
      <c r="E16" s="5" t="n"/>
      <c r="F16" s="5">
        <f>IF(COUNTIFS(Hallazgos!A:A,"ERROR",Hallazgos!B:B,"*"&amp;A16&amp;"*")&gt;0,"Con error","Apto")</f>
        <v/>
      </c>
    </row>
  </sheetData>
  <printOptions horizontalCentered="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2026-09-10T16:40:00Z</dcterms:created>
  <dcterms:modified xmlns:dcterms="http://purl.org/dc/terms/" xmlns:xsi="http://www.w3.org/2001/XMLSchema-instance" xsi:type="dcterms:W3CDTF">2026-09-10T16:40:00Z</dcterms:modified>
</cp:coreProperties>
</file>